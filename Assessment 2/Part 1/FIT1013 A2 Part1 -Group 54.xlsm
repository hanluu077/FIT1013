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C026B480-071E-DA80-A48C-D3F380F32C35}"/>
  <workbookPr codeName="ThisWorkbook" defaultThemeVersion="124226"/>
  <mc:AlternateContent xmlns:mc="http://schemas.openxmlformats.org/markup-compatibility/2006">
    <mc:Choice Requires="x15">
      <x15ac:absPath xmlns:x15ac="http://schemas.microsoft.com/office/spreadsheetml/2010/11/ac" url="C:\Users\hanlu\OneDrive\Desktop\"/>
    </mc:Choice>
  </mc:AlternateContent>
  <xr:revisionPtr revIDLastSave="0" documentId="13_ncr:1_{75EE7CB7-BDDE-43A1-BFF7-77311C51EF0D}" xr6:coauthVersionLast="47" xr6:coauthVersionMax="47" xr10:uidLastSave="{00000000-0000-0000-0000-000000000000}"/>
  <bookViews>
    <workbookView xWindow="2304" yWindow="12" windowWidth="10848" windowHeight="12948" xr2:uid="{00000000-000D-0000-FFFF-FFFF00000000}"/>
  </bookViews>
  <sheets>
    <sheet name="Menu" sheetId="6" r:id="rId1"/>
    <sheet name="Customer" sheetId="1" r:id="rId2"/>
    <sheet name="Dress" sheetId="2" r:id="rId3"/>
    <sheet name="Quantity" sheetId="5" r:id="rId4"/>
    <sheet name="Rental" sheetId="3" r:id="rId5"/>
  </sheets>
  <definedNames>
    <definedName name="AnnaCColour">Dress!$D$2</definedName>
    <definedName name="AnnaCDN">Dress!$C$2</definedName>
    <definedName name="AnnaCSize">Quantity!$B$2:$B$4</definedName>
    <definedName name="CalvinK1Colour">Dress!$D$3</definedName>
    <definedName name="CalvinK1Size">Quantity!$B$5:$B$10</definedName>
    <definedName name="CalvinK2Size">Quantity!$B$11:$B$14</definedName>
    <definedName name="CalvinKDN">Dress!$C$3:$C$4</definedName>
    <definedName name="CalvinKlein2Colour">Dress!$D$4</definedName>
    <definedName name="Customer">Customer!$A$1:$I$10</definedName>
    <definedName name="DianeVFColour">Dress!$D$5</definedName>
    <definedName name="DianeVFSize">Quantity!$B$15:$B$20</definedName>
    <definedName name="DianevonFDN">Dress!$C$5</definedName>
    <definedName name="DonnaKColour">Dress!$D$6</definedName>
    <definedName name="DonnaKDN">Dress!$C$6</definedName>
    <definedName name="DonnaKSize">Quantity!$B$21:$B$23</definedName>
    <definedName name="Dress">Dress!$A$1:$F$21</definedName>
    <definedName name="DressID">Quantity!$A:$A</definedName>
    <definedName name="ElieT1Colour">Dress!$D$7</definedName>
    <definedName name="ElieT1Size">Quantity!$B$24</definedName>
    <definedName name="ElieT2Colour">Dress!$D$8</definedName>
    <definedName name="ElieT2Size">Quantity!$B$25:$B$28</definedName>
    <definedName name="ElieTDN">Dress!$C$7:$C$8</definedName>
    <definedName name="GaliaLColour">Dress!$D$9</definedName>
    <definedName name="GaliaLDN">Dress!$C$9</definedName>
    <definedName name="GaliaLSize">Quantity!$B$29:$B$34</definedName>
    <definedName name="GiorgioAColour">Dress!$D$10</definedName>
    <definedName name="GiorgioADN">Dress!$C$10</definedName>
    <definedName name="GiorgioASize">Quantity!$B$35</definedName>
    <definedName name="Halston1Colour">Dress!$D$11</definedName>
    <definedName name="Halston1Size">Quantity!$B$36:$B$37</definedName>
    <definedName name="Halston2Colour">Dress!$D$12</definedName>
    <definedName name="Halston2Size">Quantity!$B$38:$B$40</definedName>
    <definedName name="HalstonDN">Dress!$C$11:$C$12</definedName>
    <definedName name="HerveLColour">Dress!$D$13</definedName>
    <definedName name="HerveLDN">Dress!$C$13</definedName>
    <definedName name="HerveLSize">Quantity!$B$41:$B$45</definedName>
    <definedName name="KateS1Colour">Dress!$D$14</definedName>
    <definedName name="KateS1Size">Quantity!$B$46:$B$49</definedName>
    <definedName name="KateS2Colour">Dress!$D$15</definedName>
    <definedName name="KateS2Size">Quantity!$B$50:$B$52</definedName>
    <definedName name="KateSDN">Dress!$C$14:$C$15</definedName>
    <definedName name="PninaTColour">Dress!$D$16</definedName>
    <definedName name="PninaTDN">Dress!$C$16</definedName>
    <definedName name="PninaTSize">Quantity!$B$53:$B$54</definedName>
    <definedName name="Rental">Rental!$B$1:$I$1</definedName>
    <definedName name="RVNColour">Dress!$D$17</definedName>
    <definedName name="RVNDN">Dress!$C$17</definedName>
    <definedName name="RVNSize">Quantity!$B$55</definedName>
    <definedName name="ShoshannaColour">Dress!$D$18</definedName>
    <definedName name="ShoshannaDN">Dress!$C$18</definedName>
    <definedName name="ShoshannaSize">Quantity!$B$56:$B$63</definedName>
    <definedName name="TracyRColour">Dress!$D$19</definedName>
    <definedName name="TracyRDN">Dress!$C$19</definedName>
    <definedName name="TracyRSize">Quantity!$B$64:$B$66</definedName>
    <definedName name="VeraW1Colour">Dress!$D$20</definedName>
    <definedName name="VeraW1Size">Quantity!$B$67:$B$71</definedName>
    <definedName name="VeraW2Colour">Dress!$D$21</definedName>
    <definedName name="VeraW2Size">Quantity!$B$72:$B$75</definedName>
    <definedName name="VeraWDN">Dress!$C$20:$C$21</definedName>
  </definedNames>
  <calcPr calcId="191028" concurrentCalc="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5" i="3" l="1"/>
  <c r="J7" i="3"/>
  <c r="J6" i="3"/>
  <c r="J3" i="3"/>
  <c r="J4" i="3"/>
  <c r="J2" i="3"/>
</calcChain>
</file>

<file path=xl/sharedStrings.xml><?xml version="1.0" encoding="utf-8"?>
<sst xmlns="http://schemas.openxmlformats.org/spreadsheetml/2006/main" count="247" uniqueCount="212">
  <si>
    <t xml:space="preserve">Simon's Amazon of Fashion </t>
  </si>
  <si>
    <t xml:space="preserve">FIT1013 Assessment 2 </t>
  </si>
  <si>
    <t>Group No.</t>
  </si>
  <si>
    <t>54 - Thursday Class 😎</t>
  </si>
  <si>
    <t xml:space="preserve">Authors: </t>
  </si>
  <si>
    <t>Date of Completion</t>
  </si>
  <si>
    <t>CustomerID</t>
  </si>
  <si>
    <t>LastName</t>
  </si>
  <si>
    <t>FirstName</t>
  </si>
  <si>
    <t>Address</t>
  </si>
  <si>
    <t>City</t>
  </si>
  <si>
    <t>State</t>
  </si>
  <si>
    <t>Postcode</t>
  </si>
  <si>
    <t>Telephone</t>
  </si>
  <si>
    <t>EmailAddress</t>
  </si>
  <si>
    <t>Lavonne</t>
  </si>
  <si>
    <t>Esco</t>
  </si>
  <si>
    <t>377 Excalibur Dr</t>
  </si>
  <si>
    <t>Macks Creek</t>
  </si>
  <si>
    <t>VIC</t>
  </si>
  <si>
    <t>lavonne.esco@yahoo.com</t>
  </si>
  <si>
    <t>Veda</t>
  </si>
  <si>
    <t>Mishkin</t>
  </si>
  <si>
    <t>98247 Russell Blvd</t>
  </si>
  <si>
    <t>Woolamai</t>
  </si>
  <si>
    <t>veda.mishkin@mishkin.com.au</t>
  </si>
  <si>
    <t>Theron</t>
  </si>
  <si>
    <t>Jarding</t>
  </si>
  <si>
    <t>8839 Ventura Blvd</t>
  </si>
  <si>
    <t>Tuggerawong</t>
  </si>
  <si>
    <t>NSW</t>
  </si>
  <si>
    <t>tjarding@hotmail.com</t>
  </si>
  <si>
    <t>Jamal</t>
  </si>
  <si>
    <t>Korczynski</t>
  </si>
  <si>
    <t>404 Broxton Ave</t>
  </si>
  <si>
    <t>Flinders</t>
  </si>
  <si>
    <t>jamal_korczynski@gmail.com</t>
  </si>
  <si>
    <t>Millie</t>
  </si>
  <si>
    <t>Pirkl</t>
  </si>
  <si>
    <t>31 Schuyler Ave</t>
  </si>
  <si>
    <t>Emerald</t>
  </si>
  <si>
    <t>millie_pirkl@gmail.com</t>
  </si>
  <si>
    <t>Rose</t>
  </si>
  <si>
    <t>Jebb</t>
  </si>
  <si>
    <t>27916 Tarrytown Rd</t>
  </si>
  <si>
    <t>Burpengary</t>
  </si>
  <si>
    <t>QLD</t>
  </si>
  <si>
    <t>rose@jebb.net.au</t>
  </si>
  <si>
    <t>Fanny</t>
  </si>
  <si>
    <t>Stoneking</t>
  </si>
  <si>
    <t>50968 Kurtz St #45</t>
  </si>
  <si>
    <t>Dangar Island</t>
  </si>
  <si>
    <t>fstoneking@hotmail.com</t>
  </si>
  <si>
    <t>Catherin</t>
  </si>
  <si>
    <t>Aguele</t>
  </si>
  <si>
    <t>75962 E Drinker St</t>
  </si>
  <si>
    <t>Bateau Bay</t>
  </si>
  <si>
    <t>caguele@gmail.com</t>
  </si>
  <si>
    <t>Oren</t>
  </si>
  <si>
    <t>Lobosco</t>
  </si>
  <si>
    <t>1585 Salem Church Rd #59</t>
  </si>
  <si>
    <t>Fosterville</t>
  </si>
  <si>
    <t>olobosco@hotmail.com</t>
  </si>
  <si>
    <t>Aleta</t>
  </si>
  <si>
    <t>Poarch</t>
  </si>
  <si>
    <t>5 Liberty Ave</t>
  </si>
  <si>
    <t>Yelverton</t>
  </si>
  <si>
    <t>WA</t>
  </si>
  <si>
    <t>apoarch@gmail.com</t>
  </si>
  <si>
    <t>Melinda</t>
  </si>
  <si>
    <t>Fellhauer</t>
  </si>
  <si>
    <t>8275 Calle De Industrias</t>
  </si>
  <si>
    <t>Wattle Hill</t>
  </si>
  <si>
    <t>TAS</t>
  </si>
  <si>
    <t>melinda_fellhauer@fellhauer.com.au</t>
  </si>
  <si>
    <t>Lou</t>
  </si>
  <si>
    <t>Kriner</t>
  </si>
  <si>
    <t>39 Broad St</t>
  </si>
  <si>
    <t>Hillston</t>
  </si>
  <si>
    <t>lou.kriner@hotmail.com</t>
  </si>
  <si>
    <t>Kent</t>
  </si>
  <si>
    <t>Ivans</t>
  </si>
  <si>
    <t>56710 Euclid Ave</t>
  </si>
  <si>
    <t>Stonehaven</t>
  </si>
  <si>
    <t>kent_ivans@yahoo.com</t>
  </si>
  <si>
    <t>Camellia</t>
  </si>
  <si>
    <t>Pylant</t>
  </si>
  <si>
    <t>570 W Pine St</t>
  </si>
  <si>
    <t>Kennedy</t>
  </si>
  <si>
    <t>camellia_pylant@gmail.com</t>
  </si>
  <si>
    <t>Norah</t>
  </si>
  <si>
    <t>Daleo</t>
  </si>
  <si>
    <t>754 Sammis Ave</t>
  </si>
  <si>
    <t>Alvie</t>
  </si>
  <si>
    <t>ndaleo@daleo.net.au</t>
  </si>
  <si>
    <t>Reta</t>
  </si>
  <si>
    <t>Qazi</t>
  </si>
  <si>
    <t>1351 Simpson St</t>
  </si>
  <si>
    <t>Willunga</t>
  </si>
  <si>
    <t>SA</t>
  </si>
  <si>
    <t>reta.qazi@yahoo.com</t>
  </si>
  <si>
    <t>Roy</t>
  </si>
  <si>
    <t>Nybo</t>
  </si>
  <si>
    <t>823 Fishers Ln</t>
  </si>
  <si>
    <t>Cape Portland</t>
  </si>
  <si>
    <t>rnybo@nybo.net.au</t>
  </si>
  <si>
    <t>Pearlene</t>
  </si>
  <si>
    <t>Boudrie</t>
  </si>
  <si>
    <t>8978 W Henrietta Rd</t>
  </si>
  <si>
    <t>Glenmoral</t>
  </si>
  <si>
    <t>pboudrie@boudrie.net.au</t>
  </si>
  <si>
    <t>Sherill</t>
  </si>
  <si>
    <t>Klar</t>
  </si>
  <si>
    <t>87 Sylvan Ave</t>
  </si>
  <si>
    <t>Wooloowin</t>
  </si>
  <si>
    <t>sklar@hotmail.com</t>
  </si>
  <si>
    <t>Royal</t>
  </si>
  <si>
    <t>Costeira</t>
  </si>
  <si>
    <t>970 Waterloo Rd</t>
  </si>
  <si>
    <t>Placid Hills</t>
  </si>
  <si>
    <t>royal_costeira@costeira.com.au</t>
  </si>
  <si>
    <t>DressID</t>
  </si>
  <si>
    <t>Designer</t>
  </si>
  <si>
    <t>DressName</t>
  </si>
  <si>
    <t>Color</t>
  </si>
  <si>
    <t>RentalPrice</t>
  </si>
  <si>
    <t>RetailPrice</t>
  </si>
  <si>
    <t>Anna Campbell</t>
  </si>
  <si>
    <t>Lovely and feminine</t>
  </si>
  <si>
    <t>Black</t>
  </si>
  <si>
    <t>Calvin Klein</t>
  </si>
  <si>
    <t>Wow</t>
  </si>
  <si>
    <t>Orange</t>
  </si>
  <si>
    <t>Vixen</t>
  </si>
  <si>
    <t>Natural</t>
  </si>
  <si>
    <t>Diane von Furstenberg</t>
  </si>
  <si>
    <t>Preen Press</t>
  </si>
  <si>
    <t>Blue</t>
  </si>
  <si>
    <t>Donna Karan</t>
  </si>
  <si>
    <t>Plain Sheath</t>
  </si>
  <si>
    <t>Elie Tahari</t>
  </si>
  <si>
    <t>Wheatly</t>
  </si>
  <si>
    <t>Purple</t>
  </si>
  <si>
    <t>Seeds and Fruits</t>
  </si>
  <si>
    <t>Grey</t>
  </si>
  <si>
    <t>Galia Lahav</t>
  </si>
  <si>
    <t>Bridal Couture</t>
  </si>
  <si>
    <t>White</t>
  </si>
  <si>
    <t>Giorgio Armani</t>
  </si>
  <si>
    <t>Rainbow</t>
  </si>
  <si>
    <t>Multi</t>
  </si>
  <si>
    <t xml:space="preserve">   </t>
  </si>
  <si>
    <t>Halston</t>
  </si>
  <si>
    <t>Perfect Wave</t>
  </si>
  <si>
    <t>Gold</t>
  </si>
  <si>
    <t>Shoulder Dress</t>
  </si>
  <si>
    <t>Tan</t>
  </si>
  <si>
    <t>Herve Leger</t>
  </si>
  <si>
    <t>Pebbles</t>
  </si>
  <si>
    <t>Kate Spade</t>
  </si>
  <si>
    <t>Circles of Ruffles</t>
  </si>
  <si>
    <t>Flower Blossom</t>
  </si>
  <si>
    <t>Green</t>
  </si>
  <si>
    <t>Pnina Tornai</t>
  </si>
  <si>
    <t>P by Pnina</t>
  </si>
  <si>
    <t>RVN</t>
  </si>
  <si>
    <t>Fern</t>
  </si>
  <si>
    <t>Shoshanna</t>
  </si>
  <si>
    <t>Orchid</t>
  </si>
  <si>
    <t>Navy</t>
  </si>
  <si>
    <t>Tracy Reese</t>
  </si>
  <si>
    <t>Graceful</t>
  </si>
  <si>
    <t>Red</t>
  </si>
  <si>
    <t>Vera Wang</t>
  </si>
  <si>
    <t>Paisley Lace</t>
  </si>
  <si>
    <t>Pink</t>
  </si>
  <si>
    <t>Shortcake Dress</t>
  </si>
  <si>
    <t>Size</t>
    <phoneticPr fontId="1" type="noConversion"/>
  </si>
  <si>
    <t>QoH</t>
    <phoneticPr fontId="1" type="noConversion"/>
  </si>
  <si>
    <t xml:space="preserve">Rental ID </t>
  </si>
  <si>
    <t>Customer ID</t>
  </si>
  <si>
    <t xml:space="preserve">Dress ID </t>
  </si>
  <si>
    <t>Size</t>
  </si>
  <si>
    <t xml:space="preserve">Quanity </t>
  </si>
  <si>
    <t xml:space="preserve">DateRented </t>
  </si>
  <si>
    <t xml:space="preserve">DateReturned </t>
  </si>
  <si>
    <t>ReturnCondition</t>
  </si>
  <si>
    <t>DeliveryAddress</t>
  </si>
  <si>
    <t>TotalAmount</t>
  </si>
  <si>
    <t>N0101</t>
    <phoneticPr fontId="1" type="noConversion"/>
  </si>
  <si>
    <t>Good</t>
    <phoneticPr fontId="1" type="noConversion"/>
  </si>
  <si>
    <t>8839 Ventura Blvd, Tuggerawong, NSW 2259</t>
    <phoneticPr fontId="1" type="noConversion"/>
  </si>
  <si>
    <t>N0102</t>
    <phoneticPr fontId="1" type="noConversion"/>
  </si>
  <si>
    <t>8978 W Henrietta Rd, Glenmoral, QLD 4719</t>
    <phoneticPr fontId="1" type="noConversion"/>
  </si>
  <si>
    <t>N0103</t>
    <phoneticPr fontId="1" type="noConversion"/>
  </si>
  <si>
    <t>Damaged</t>
    <phoneticPr fontId="1" type="noConversion"/>
  </si>
  <si>
    <t>50968 Kurtz St #45, Dangar Island, NSW 2083</t>
    <phoneticPr fontId="1" type="noConversion"/>
  </si>
  <si>
    <t>50969 Kurtz St #45, Dangar Island, NSW 2083</t>
  </si>
  <si>
    <t>50970 Kurtz St #45, Dangar Island, NSW 2083</t>
  </si>
  <si>
    <t>N0104</t>
    <phoneticPr fontId="1" type="noConversion"/>
  </si>
  <si>
    <t>56710 Euclid Ave, Stonehaven, VIC 3221</t>
    <phoneticPr fontId="1" type="noConversion"/>
  </si>
  <si>
    <t>56711 Euclid Ave, Stonehaven, VIC 3221</t>
  </si>
  <si>
    <t>N0105</t>
    <phoneticPr fontId="1" type="noConversion"/>
  </si>
  <si>
    <t>Lobosco 1585 Salem Church Rd #59, Fosterville, VIC 3557</t>
  </si>
  <si>
    <t>N0106</t>
    <phoneticPr fontId="1" type="noConversion"/>
  </si>
  <si>
    <t>Costeira 970 Waterloo Rd, Placid Hills, QLD 4343</t>
    <phoneticPr fontId="1" type="noConversion"/>
  </si>
  <si>
    <t xml:space="preserve">Note: ComboBox2 refers to the designer drop box
Combox3: Dress name drop box </t>
  </si>
  <si>
    <t>N0107</t>
  </si>
  <si>
    <t>26/09/2022 15:20</t>
  </si>
  <si>
    <t>`</t>
  </si>
  <si>
    <t>Ellie Ryan</t>
  </si>
  <si>
    <t xml:space="preserve">Ngoc Han Luu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</si>
</sst>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409]* #,##0.00_);_([$$-409]* \(#,##0.00\);_([$$-409]* &quot;-&quot;??_);_(@_)"/>
  </numFmts>
  <fonts count="5">
    <font>
      <sz val="11"/>
      <color theme="1"/>
      <name val="Calibri"/>
      <family val="2"/>
      <scheme val="minor"/>
    </font>
    <font>
      <sz val="9"/>
      <name val="Calibri"/>
      <family val="3"/>
      <charset val="136"/>
      <scheme val="minor"/>
    </font>
    <font>
      <sz val="28"/>
      <color theme="1"/>
      <name val="Calibri"/>
      <family val="2"/>
      <scheme val="minor"/>
    </font>
    <font>
      <sz val="11"/>
      <color rgb="FF000000"/>
      <name val="Calibri"/>
      <family val="2"/>
      <scheme val="minor"/>
    </font>
    <font>
      <sz val="11"/>
      <color rgb="FF000000"/>
      <name val="新細明體"/>
      <family val="2"/>
    </font>
  </fonts>
  <fills count="8">
    <fill>
      <patternFill patternType="none"/>
    </fill>
    <fill>
      <patternFill patternType="gray125"/>
    </fill>
    <fill>
      <patternFill patternType="solid">
        <fgColor rgb="FFFFFF00"/>
        <bgColor indexed="64"/>
      </patternFill>
    </fill>
    <fill>
      <patternFill patternType="solid">
        <fgColor rgb="FF6699FF"/>
        <bgColor indexed="64"/>
      </patternFill>
    </fill>
    <fill>
      <patternFill patternType="solid">
        <fgColor rgb="FF00B0F0"/>
        <bgColor indexed="64"/>
      </patternFill>
    </fill>
    <fill>
      <patternFill patternType="solid">
        <fgColor rgb="FFFFC000"/>
        <bgColor indexed="64"/>
      </patternFill>
    </fill>
    <fill>
      <patternFill patternType="solid">
        <fgColor theme="3" tint="0.79998168889431442"/>
        <bgColor indexed="64"/>
      </patternFill>
    </fill>
    <fill>
      <patternFill patternType="solid">
        <fgColor indexed="13"/>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top/>
      <bottom/>
      <diagonal/>
    </border>
  </borders>
  <cellStyleXfs count="1">
    <xf numFmtId="0" fontId="0" fillId="0" borderId="0"/>
  </cellStyleXfs>
  <cellXfs count="21">
    <xf numFmtId="0" fontId="0" fillId="0" borderId="0" xfId="0"/>
    <xf numFmtId="49" fontId="0" fillId="0" borderId="0" xfId="0" applyNumberFormat="1"/>
    <xf numFmtId="22" fontId="0" fillId="0" borderId="0" xfId="0" applyNumberFormat="1"/>
    <xf numFmtId="0" fontId="0" fillId="2" borderId="0" xfId="0" applyFill="1"/>
    <xf numFmtId="164" fontId="0" fillId="0" borderId="0" xfId="0" applyNumberFormat="1"/>
    <xf numFmtId="164" fontId="0" fillId="2" borderId="0" xfId="0" applyNumberFormat="1" applyFill="1"/>
    <xf numFmtId="0" fontId="3" fillId="0" borderId="0" xfId="0" applyFont="1"/>
    <xf numFmtId="0" fontId="0" fillId="0" borderId="1" xfId="0" applyBorder="1"/>
    <xf numFmtId="0" fontId="0" fillId="6" borderId="1" xfId="0" applyFill="1" applyBorder="1"/>
    <xf numFmtId="0" fontId="4" fillId="0" borderId="0" xfId="0" applyFont="1"/>
    <xf numFmtId="14" fontId="0" fillId="0" borderId="1" xfId="0" applyNumberFormat="1" applyBorder="1"/>
    <xf numFmtId="0" fontId="0" fillId="0" borderId="4" xfId="0" applyBorder="1" applyAlignment="1">
      <alignment vertical="center"/>
    </xf>
    <xf numFmtId="0" fontId="0" fillId="0" borderId="0" xfId="0" applyAlignment="1">
      <alignment vertical="center"/>
    </xf>
    <xf numFmtId="0" fontId="0" fillId="0" borderId="1" xfId="0" applyBorder="1" applyAlignment="1">
      <alignment vertical="center"/>
    </xf>
    <xf numFmtId="0" fontId="0" fillId="7" borderId="0" xfId="0" applyFill="1"/>
    <xf numFmtId="0" fontId="0" fillId="6" borderId="2" xfId="0" applyFill="1" applyBorder="1" applyAlignment="1">
      <alignment horizontal="left" vertical="top"/>
    </xf>
    <xf numFmtId="0" fontId="0" fillId="6" borderId="3" xfId="0" applyFill="1" applyBorder="1" applyAlignment="1">
      <alignment horizontal="left" vertical="top"/>
    </xf>
    <xf numFmtId="0" fontId="0" fillId="4" borderId="1" xfId="0" applyFill="1" applyBorder="1" applyAlignment="1">
      <alignment horizontal="center"/>
    </xf>
    <xf numFmtId="0" fontId="2" fillId="3" borderId="0" xfId="0" applyFont="1" applyFill="1" applyAlignment="1">
      <alignment horizontal="center"/>
    </xf>
    <xf numFmtId="0" fontId="0" fillId="5" borderId="0" xfId="0" applyFill="1" applyAlignment="1">
      <alignment horizontal="center" wrapText="1"/>
    </xf>
    <xf numFmtId="0" fontId="0" fillId="5" borderId="0" xfId="0" applyFill="1" applyAlignment="1">
      <alignment horizontal="center"/>
    </xf>
  </cellXfs>
  <cellStyles count="1">
    <cellStyle name="Normal" xfId="0" builtinId="0"/>
  </cellStyles>
  <dxfs count="0"/>
  <tableStyles count="0" defaultTableStyle="TableStyleMedium9" defaultPivotStyle="PivotStyleLight16"/>
  <colors>
    <mruColors>
      <color rgb="FFD9E1F2"/>
      <color rgb="FF6699FF"/>
      <color rgb="FF1E97E2"/>
      <color rgb="FF76F0E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3</xdr:col>
      <xdr:colOff>266700</xdr:colOff>
      <xdr:row>5</xdr:row>
      <xdr:rowOff>88900</xdr:rowOff>
    </xdr:from>
    <xdr:to>
      <xdr:col>4</xdr:col>
      <xdr:colOff>444500</xdr:colOff>
      <xdr:row>8</xdr:row>
      <xdr:rowOff>88900</xdr:rowOff>
    </xdr:to>
    <xdr:sp macro="" textlink="">
      <xdr:nvSpPr>
        <xdr:cNvPr id="1026" name="CommandButton1" hidden="1">
          <a:extLst>
            <a:ext uri="{63B3BB69-23CF-44E3-9099-C40C66FF867C}">
              <a14:compatExt xmlns:a14="http://schemas.microsoft.com/office/drawing/2010/main"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4</xdr:col>
      <xdr:colOff>364354</xdr:colOff>
      <xdr:row>2</xdr:row>
      <xdr:rowOff>37363</xdr:rowOff>
    </xdr:from>
    <xdr:to>
      <xdr:col>6</xdr:col>
      <xdr:colOff>573601</xdr:colOff>
      <xdr:row>6</xdr:row>
      <xdr:rowOff>111742</xdr:rowOff>
    </xdr:to>
    <xdr:sp macro="" textlink="">
      <xdr:nvSpPr>
        <xdr:cNvPr id="2" name="Speech Bubble: Oval 1">
          <a:extLst>
            <a:ext uri="{FF2B5EF4-FFF2-40B4-BE49-F238E27FC236}">
              <a16:creationId xmlns:a16="http://schemas.microsoft.com/office/drawing/2014/main" id="{00000000-0008-0000-0000-000002000000}"/>
            </a:ext>
          </a:extLst>
        </xdr:cNvPr>
        <xdr:cNvSpPr/>
      </xdr:nvSpPr>
      <xdr:spPr>
        <a:xfrm rot="1822572">
          <a:off x="5217091" y="699100"/>
          <a:ext cx="1559457" cy="1043589"/>
        </a:xfrm>
        <a:prstGeom prst="wedgeEllipseCallout">
          <a:avLst>
            <a:gd name="adj1" fmla="val -24945"/>
            <a:gd name="adj2" fmla="val 72758"/>
          </a:avLst>
        </a:prstGeom>
        <a:solidFill>
          <a:srgbClr val="6699FF"/>
        </a:solidFill>
        <a:ln>
          <a:solidFill>
            <a:srgbClr val="6699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AU" sz="1100"/>
        </a:p>
      </xdr:txBody>
    </xdr:sp>
    <xdr:clientData/>
  </xdr:twoCellAnchor>
  <xdr:twoCellAnchor>
    <xdr:from>
      <xdr:col>4</xdr:col>
      <xdr:colOff>533899</xdr:colOff>
      <xdr:row>3</xdr:row>
      <xdr:rowOff>67853</xdr:rowOff>
    </xdr:from>
    <xdr:to>
      <xdr:col>6</xdr:col>
      <xdr:colOff>441403</xdr:colOff>
      <xdr:row>6</xdr:row>
      <xdr:rowOff>139390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5033106" y="896451"/>
          <a:ext cx="1146529" cy="8149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AU" sz="1200">
              <a:solidFill>
                <a:schemeClr val="bg1"/>
              </a:solidFill>
            </a:rPr>
            <a:t>Click here to</a:t>
          </a:r>
          <a:r>
            <a:rPr lang="en-AU" sz="1200" baseline="0">
              <a:solidFill>
                <a:schemeClr val="bg1"/>
              </a:solidFill>
            </a:rPr>
            <a:t> see  the "Main Menu"                    </a:t>
          </a:r>
          <a:endParaRPr lang="en-AU" sz="1200">
            <a:solidFill>
              <a:schemeClr val="bg1"/>
            </a:solidFill>
          </a:endParaRPr>
        </a:p>
      </xdr:txBody>
    </xdr:sp>
    <xdr:clientData/>
  </xdr:twoCellAnchor>
  <xdr:twoCellAnchor>
    <xdr:from>
      <xdr:col>0</xdr:col>
      <xdr:colOff>292335</xdr:colOff>
      <xdr:row>10</xdr:row>
      <xdr:rowOff>36218</xdr:rowOff>
    </xdr:from>
    <xdr:to>
      <xdr:col>6</xdr:col>
      <xdr:colOff>526585</xdr:colOff>
      <xdr:row>57</xdr:row>
      <xdr:rowOff>0</xdr:rowOff>
    </xdr:to>
    <xdr:sp macro="" textlink="">
      <xdr:nvSpPr>
        <xdr:cNvPr id="37" name="Rectangle: Rounded Corners 3">
          <a:extLst>
            <a:ext uri="{FF2B5EF4-FFF2-40B4-BE49-F238E27FC236}">
              <a16:creationId xmlns:a16="http://schemas.microsoft.com/office/drawing/2014/main" id="{00000000-0008-0000-0000-000025000000}"/>
            </a:ext>
          </a:extLst>
        </xdr:cNvPr>
        <xdr:cNvSpPr/>
      </xdr:nvSpPr>
      <xdr:spPr>
        <a:xfrm>
          <a:off x="292335" y="2398418"/>
          <a:ext cx="5987350" cy="8917282"/>
        </a:xfrm>
        <a:prstGeom prst="roundRect">
          <a:avLst/>
        </a:prstGeom>
        <a:solidFill>
          <a:srgbClr val="6699FF"/>
        </a:solidFill>
        <a:ln>
          <a:solidFill>
            <a:srgbClr val="1E97E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AU" sz="1100" b="1" i="0" u="sng"/>
            <a:t>Applicatio</a:t>
          </a:r>
          <a:r>
            <a:rPr lang="en-AU" sz="1100" b="1" i="0" u="sng" baseline="0"/>
            <a:t>n Instructions </a:t>
          </a:r>
        </a:p>
        <a:p>
          <a:pPr algn="ctr"/>
          <a:r>
            <a:rPr lang="en-AU" sz="1100" b="1" i="0" u="none" baseline="0"/>
            <a:t>Page 1</a:t>
          </a:r>
          <a:r>
            <a:rPr lang="en-AU" sz="1100" b="1" i="0" u="sng" baseline="0"/>
            <a:t> </a:t>
          </a:r>
        </a:p>
        <a:p>
          <a:pPr algn="l"/>
          <a:endParaRPr lang="en-AU" sz="1100" baseline="0"/>
        </a:p>
        <a:p>
          <a:pPr algn="l"/>
          <a:r>
            <a:rPr lang="en-AU" sz="1100" b="1" u="sng" baseline="0"/>
            <a:t>Main Menu: </a:t>
          </a:r>
        </a:p>
        <a:p>
          <a:pPr algn="l"/>
          <a:r>
            <a:rPr lang="en-AU" sz="1100" baseline="0"/>
            <a:t>The main menu form will appear everytime this workbook is open. The users will be prompted with 4 different options:</a:t>
          </a:r>
        </a:p>
        <a:p>
          <a:pPr algn="l"/>
          <a:r>
            <a:rPr lang="en-AU" sz="1100" baseline="0"/>
            <a:t>* Customer Information </a:t>
          </a:r>
        </a:p>
        <a:p>
          <a:pPr algn="l"/>
          <a:r>
            <a:rPr lang="en-AU" sz="1100" baseline="0"/>
            <a:t>* New Order </a:t>
          </a:r>
        </a:p>
        <a:p>
          <a:pPr algn="l"/>
          <a:r>
            <a:rPr lang="en-AU" sz="1100" baseline="0"/>
            <a:t>* Complete Rental  (Currently inactive)</a:t>
          </a:r>
        </a:p>
        <a:p>
          <a:pPr algn="l"/>
          <a:r>
            <a:rPr lang="en-AU" sz="1100" baseline="0"/>
            <a:t>* Display Rental  (Currently inactive)</a:t>
          </a:r>
        </a:p>
        <a:p>
          <a:pPr algn="l"/>
          <a:endParaRPr lang="en-AU" sz="1100" baseline="0"/>
        </a:p>
        <a:p>
          <a:pPr algn="l"/>
          <a:r>
            <a:rPr lang="en-AU" sz="1100" baseline="0"/>
            <a:t>If the users wish to choose none of the  options above, they may exit the form to view the worksheets of the workbook. However, if they wish to return to the menu form to redirect to the different forum pages, a button on the "Menu" worksheet contains a button called "Show Menu"  or use Alt+m on keyboard to return (above the Application Instructions). </a:t>
          </a:r>
        </a:p>
        <a:p>
          <a:pPr algn="l"/>
          <a:endParaRPr lang="en-AU" sz="1100" baseline="0"/>
        </a:p>
        <a:p>
          <a:pPr algn="l"/>
          <a:r>
            <a:rPr lang="en-AU" sz="1100" b="1" i="0" u="sng" baseline="0"/>
            <a:t>Customer Information: </a:t>
          </a:r>
        </a:p>
        <a:p>
          <a:pPr algn="l"/>
          <a:r>
            <a:rPr lang="en-AU" sz="1100" baseline="0"/>
            <a:t>This section 4 offers a variety of functions such as: </a:t>
          </a:r>
        </a:p>
        <a:p>
          <a:pPr algn="l"/>
          <a:r>
            <a:rPr lang="en-AU" sz="1100" baseline="0"/>
            <a:t>* Add New Customers </a:t>
          </a:r>
        </a:p>
        <a:p>
          <a:pPr algn="l"/>
          <a:r>
            <a:rPr lang="en-AU" sz="1100" baseline="0"/>
            <a:t>* Delete Customer </a:t>
          </a:r>
        </a:p>
        <a:p>
          <a:pPr algn="l"/>
          <a:r>
            <a:rPr lang="en-AU" sz="1100" baseline="0"/>
            <a:t>* Update Customers </a:t>
          </a:r>
        </a:p>
        <a:p>
          <a:pPr algn="l"/>
          <a:r>
            <a:rPr lang="en-AU" sz="1100" baseline="0"/>
            <a:t>* Cancel the Form </a:t>
          </a:r>
        </a:p>
        <a:p>
          <a:pPr algn="l"/>
          <a:endParaRPr lang="en-AU" sz="1100" baseline="0"/>
        </a:p>
        <a:p>
          <a:pPr algn="l"/>
          <a:r>
            <a:rPr lang="en-AU" sz="1100" baseline="0"/>
            <a:t>The form consist of a dropbox where users are able to use the dropbar to search a customer ID. This dropbox will automatically fill in the content for the users based on the data in the "Customer" worksheet, which will fill out the: first name, last name, email address, telephone number and the customer's address. </a:t>
          </a:r>
        </a:p>
        <a:p>
          <a:pPr algn="l"/>
          <a:endParaRPr lang="en-AU" sz="1100" baseline="0"/>
        </a:p>
        <a:p>
          <a:pPr algn="l"/>
          <a:r>
            <a:rPr lang="en-AU" sz="1100" baseline="0"/>
            <a:t>Users may add their own details if they are a new user by scrolling to the bottom of the drop box to generate a unique ID "Add New Customer" and they may also manually fill their personal information. To save their information, users must click the "Add New Customer" button and they will have a prompt message to confirm if their information is correct. </a:t>
          </a:r>
        </a:p>
        <a:p>
          <a:pPr algn="l"/>
          <a:endParaRPr lang="en-AU" sz="1100" baseline="0"/>
        </a:p>
        <a:p>
          <a:pPr algn="l"/>
          <a:r>
            <a:rPr lang="en-AU" sz="1100" i="0" u="none" baseline="0"/>
            <a:t>If users wish to delete their information from the database spreadsheet, users may select their customer ID that matches their personal information. A button called "Delete" will proceed to delete their contact information after the customer confirms their changes from a confirmation prompt message. </a:t>
          </a:r>
        </a:p>
        <a:p>
          <a:pPr algn="l"/>
          <a:endParaRPr lang="en-AU" sz="1100" i="0" u="none" baseline="0"/>
        </a:p>
        <a:p>
          <a:pPr algn="l"/>
          <a:r>
            <a:rPr lang="en-AU" sz="1100" i="0" u="none" baseline="0"/>
            <a:t>Users also are able to update their information if they are an existing customer or a new added customer to 'Simon's fashion' company. Users must ensure that their ID is valid and they may manually update their personal information through the input boxes. After adjusting their details, users must click on "Update Customer's Details" and confirm their changes for changes to be made. </a:t>
          </a:r>
        </a:p>
        <a:p>
          <a:pPr algn="l"/>
          <a:endParaRPr lang="en-AU" sz="1100" i="0" u="none" baseline="0"/>
        </a:p>
        <a:p>
          <a:pPr algn="l"/>
          <a:r>
            <a:rPr lang="en-AU" sz="1100" i="0" u="none" baseline="0"/>
            <a:t>The "Cancel" button redirects the users to the "Main Menu". </a:t>
          </a:r>
        </a:p>
        <a:p>
          <a:pPr algn="l"/>
          <a:endParaRPr lang="en-AU" sz="1100" i="0" u="none" baseline="0"/>
        </a:p>
      </xdr:txBody>
    </xdr:sp>
    <xdr:clientData/>
  </xdr:twoCellAnchor>
  <xdr:twoCellAnchor>
    <xdr:from>
      <xdr:col>7</xdr:col>
      <xdr:colOff>165336</xdr:colOff>
      <xdr:row>9</xdr:row>
      <xdr:rowOff>121971</xdr:rowOff>
    </xdr:from>
    <xdr:to>
      <xdr:col>16</xdr:col>
      <xdr:colOff>526586</xdr:colOff>
      <xdr:row>56</xdr:row>
      <xdr:rowOff>85752</xdr:rowOff>
    </xdr:to>
    <xdr:sp macro="" textlink="">
      <xdr:nvSpPr>
        <xdr:cNvPr id="1564" name="Rectangle: Rounded Corners 3">
          <a:extLst>
            <a:ext uri="{FF2B5EF4-FFF2-40B4-BE49-F238E27FC236}">
              <a16:creationId xmlns:a16="http://schemas.microsoft.com/office/drawing/2014/main" id="{00000000-0008-0000-0000-00001C060000}"/>
            </a:ext>
          </a:extLst>
        </xdr:cNvPr>
        <xdr:cNvSpPr/>
      </xdr:nvSpPr>
      <xdr:spPr>
        <a:xfrm>
          <a:off x="6506637" y="2227039"/>
          <a:ext cx="5919675" cy="8549329"/>
        </a:xfrm>
        <a:prstGeom prst="roundRect">
          <a:avLst/>
        </a:prstGeom>
        <a:solidFill>
          <a:srgbClr val="6699FF"/>
        </a:solidFill>
        <a:ln>
          <a:solidFill>
            <a:srgbClr val="1E97E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AU" sz="1100" b="1" i="0" u="sng"/>
            <a:t>Applicatio</a:t>
          </a:r>
          <a:r>
            <a:rPr lang="en-AU" sz="1100" b="1" i="0" u="sng" baseline="0"/>
            <a:t>n Instructions</a:t>
          </a:r>
        </a:p>
        <a:p>
          <a:pPr algn="ctr"/>
          <a:r>
            <a:rPr lang="en-AU" sz="1100" b="1" i="0" u="none" baseline="0"/>
            <a:t>Page 2</a:t>
          </a:r>
          <a:r>
            <a:rPr lang="en-AU" sz="1100" b="1" i="0" u="sng" baseline="0"/>
            <a:t> </a:t>
          </a:r>
        </a:p>
        <a:p>
          <a:pPr algn="l"/>
          <a:endParaRPr lang="en-AU" sz="1100" baseline="0"/>
        </a:p>
        <a:p>
          <a:pPr marL="0" marR="0" lvl="0" indent="0" algn="l" defTabSz="914400" eaLnBrk="1" fontAlgn="auto" latinLnBrk="0" hangingPunct="1">
            <a:lnSpc>
              <a:spcPct val="100000"/>
            </a:lnSpc>
            <a:spcBef>
              <a:spcPts val="0"/>
            </a:spcBef>
            <a:spcAft>
              <a:spcPts val="0"/>
            </a:spcAft>
            <a:buClrTx/>
            <a:buSzTx/>
            <a:buFontTx/>
            <a:buNone/>
            <a:tabLst/>
            <a:defRPr/>
          </a:pPr>
          <a:r>
            <a:rPr lang="en-AU" sz="1100" b="1" u="sng" baseline="0"/>
            <a:t>New Order: </a:t>
          </a:r>
        </a:p>
        <a:p>
          <a:pPr algn="l"/>
          <a:r>
            <a:rPr lang="en-AU" sz="1100" b="0" i="0" u="none" baseline="0"/>
            <a:t>The New Order form is a new form located within the Main Menu. Instructions on how to open </a:t>
          </a:r>
        </a:p>
      </xdr:txBody>
    </xdr:sp>
    <xdr:clientData/>
  </xdr:twoCellAnchor>
  <xdr:twoCellAnchor>
    <xdr:from>
      <xdr:col>7</xdr:col>
      <xdr:colOff>165336</xdr:colOff>
      <xdr:row>9</xdr:row>
      <xdr:rowOff>121972</xdr:rowOff>
    </xdr:from>
    <xdr:to>
      <xdr:col>16</xdr:col>
      <xdr:colOff>526586</xdr:colOff>
      <xdr:row>56</xdr:row>
      <xdr:rowOff>69590</xdr:rowOff>
    </xdr:to>
    <xdr:sp macro="" textlink="">
      <xdr:nvSpPr>
        <xdr:cNvPr id="1066" name="Rectangle: Rounded Corners 3">
          <a:extLst>
            <a:ext uri="{FF2B5EF4-FFF2-40B4-BE49-F238E27FC236}">
              <a16:creationId xmlns:a16="http://schemas.microsoft.com/office/drawing/2014/main" id="{00000000-0008-0000-0000-00002A040000}"/>
            </a:ext>
          </a:extLst>
        </xdr:cNvPr>
        <xdr:cNvSpPr/>
      </xdr:nvSpPr>
      <xdr:spPr>
        <a:xfrm>
          <a:off x="6495492" y="2275019"/>
          <a:ext cx="5897657" cy="8807852"/>
        </a:xfrm>
        <a:prstGeom prst="roundRect">
          <a:avLst/>
        </a:prstGeom>
        <a:solidFill>
          <a:srgbClr val="6699FF"/>
        </a:solidFill>
        <a:ln>
          <a:solidFill>
            <a:srgbClr val="1E97E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AU" sz="1100" b="1" i="0" u="sng"/>
            <a:t>Applicatio</a:t>
          </a:r>
          <a:r>
            <a:rPr lang="en-AU" sz="1100" b="1" i="0" u="sng" baseline="0"/>
            <a:t>n Instructions</a:t>
          </a:r>
        </a:p>
        <a:p>
          <a:pPr algn="ctr"/>
          <a:r>
            <a:rPr lang="en-AU" sz="1100" b="1" i="0" u="none" baseline="0"/>
            <a:t>Page 2</a:t>
          </a:r>
          <a:r>
            <a:rPr lang="en-AU" sz="1100" b="1" i="0" u="sng" baseline="0"/>
            <a:t> </a:t>
          </a:r>
        </a:p>
        <a:p>
          <a:pPr algn="l"/>
          <a:endParaRPr lang="en-AU" sz="1100" baseline="0"/>
        </a:p>
        <a:p>
          <a:pPr marL="0" marR="0" lvl="0" indent="0" algn="l" defTabSz="914400" eaLnBrk="1" fontAlgn="auto" latinLnBrk="0" hangingPunct="1">
            <a:lnSpc>
              <a:spcPct val="100000"/>
            </a:lnSpc>
            <a:spcBef>
              <a:spcPts val="0"/>
            </a:spcBef>
            <a:spcAft>
              <a:spcPts val="0"/>
            </a:spcAft>
            <a:buClrTx/>
            <a:buSzTx/>
            <a:buFontTx/>
            <a:buNone/>
            <a:tabLst/>
            <a:defRPr/>
          </a:pPr>
          <a:r>
            <a:rPr lang="en-AU" sz="1100" b="1" u="sng" baseline="0"/>
            <a:t>New Order: </a:t>
          </a:r>
        </a:p>
        <a:p>
          <a:pPr algn="l"/>
          <a:r>
            <a:rPr lang="en-AU" sz="1100" b="0" i="0" u="none" baseline="0"/>
            <a:t>The New Order form is a new form which can be accessed from the Main Menu (Alt+m).</a:t>
          </a:r>
        </a:p>
        <a:p>
          <a:pPr algn="l"/>
          <a:endParaRPr lang="en-AU" sz="1100" b="0" i="0" u="none" baseline="0"/>
        </a:p>
        <a:p>
          <a:pPr algn="l"/>
          <a:r>
            <a:rPr lang="en-AU" sz="1100" b="0" i="0" u="none" baseline="0"/>
            <a:t>The form consists of a dropdown box where users select a customer ID and it'll then populate the First and Last Name of that user onto the form. </a:t>
          </a:r>
        </a:p>
        <a:p>
          <a:pPr algn="l"/>
          <a:r>
            <a:rPr lang="en-AU" sz="1100" b="0" i="0" u="none" baseline="0"/>
            <a:t>From there the user will be able to chose a  Dress Designer and then based off that choice the dress name, colour and size will restrict to whats avaliable and the user will be able to chose from the dropdown box what they would like from the avalibility. </a:t>
          </a:r>
        </a:p>
        <a:p>
          <a:pPr algn="l"/>
          <a:endParaRPr lang="en-AU" sz="1100" b="0" i="0" u="none" baseline="0"/>
        </a:p>
        <a:p>
          <a:pPr algn="l"/>
          <a:r>
            <a:rPr lang="en-AU" sz="1100" b="0" i="0" u="none" baseline="0"/>
            <a:t>The Date and Time will be shown on the form to let the user know what time it is and when they are making their rental. </a:t>
          </a:r>
        </a:p>
        <a:p>
          <a:pPr algn="l"/>
          <a:endParaRPr lang="en-AU" sz="1100" b="0" i="0" u="none" baseline="0"/>
        </a:p>
        <a:p>
          <a:pPr algn="l"/>
          <a:r>
            <a:rPr lang="en-AU" sz="1100" b="0" i="0" u="none" baseline="0"/>
            <a:t>Users can then write down in the quanity box of how many they would like of that one dress. </a:t>
          </a:r>
        </a:p>
        <a:p>
          <a:pPr algn="l"/>
          <a:endParaRPr lang="en-AU" sz="1100" b="0" i="0" u="none" baseline="0"/>
        </a:p>
        <a:p>
          <a:pPr algn="l"/>
          <a:r>
            <a:rPr lang="en-AU" sz="1100" b="0" i="0" u="none" baseline="0"/>
            <a:t>If they would like to accept this dress, press 'Add Dress to Cart' OR otherwise press 'Clear Order'  to clear the previous information and select a new dress.</a:t>
          </a:r>
        </a:p>
        <a:p>
          <a:pPr algn="l"/>
          <a:r>
            <a:rPr lang="en-AU" sz="1100" b="0" i="0" u="none" baseline="0"/>
            <a:t>If the user selects 'Add Dress to Cart' thier cart will temporiarly appear on the left to confirm / show the user what they have selected. </a:t>
          </a:r>
        </a:p>
        <a:p>
          <a:pPr algn="l"/>
          <a:endParaRPr lang="en-AU" sz="1100" b="0" i="0" u="none" baseline="0"/>
        </a:p>
        <a:p>
          <a:pPr marL="0" marR="0" lvl="0" indent="0" algn="l" defTabSz="914400" eaLnBrk="1" fontAlgn="auto" latinLnBrk="0" hangingPunct="1">
            <a:lnSpc>
              <a:spcPct val="100000"/>
            </a:lnSpc>
            <a:spcBef>
              <a:spcPts val="0"/>
            </a:spcBef>
            <a:spcAft>
              <a:spcPts val="0"/>
            </a:spcAft>
            <a:buClrTx/>
            <a:buSzTx/>
            <a:buFontTx/>
            <a:buNone/>
            <a:tabLst/>
            <a:defRPr/>
          </a:pPr>
          <a:r>
            <a:rPr lang="en-AU" sz="1100" b="0" i="0" baseline="0">
              <a:solidFill>
                <a:schemeClr val="lt1"/>
              </a:solidFill>
              <a:effectLst/>
              <a:latin typeface="+mn-lt"/>
              <a:ea typeface="+mn-ea"/>
              <a:cs typeface="+mn-cs"/>
            </a:rPr>
            <a:t>The following aspects will be taken from the order form on placed onto the Rental worksheet. </a:t>
          </a:r>
        </a:p>
        <a:p>
          <a:pPr marL="0" marR="0" lvl="0" indent="0" algn="l" defTabSz="914400" eaLnBrk="1" fontAlgn="auto" latinLnBrk="0" hangingPunct="1">
            <a:lnSpc>
              <a:spcPct val="100000"/>
            </a:lnSpc>
            <a:spcBef>
              <a:spcPts val="0"/>
            </a:spcBef>
            <a:spcAft>
              <a:spcPts val="0"/>
            </a:spcAft>
            <a:buClrTx/>
            <a:buSzTx/>
            <a:buFontTx/>
            <a:buNone/>
            <a:tabLst/>
            <a:defRPr/>
          </a:pPr>
          <a:r>
            <a:rPr lang="en-AU" sz="1100" b="0" i="0" baseline="0">
              <a:solidFill>
                <a:schemeClr val="lt1"/>
              </a:solidFill>
              <a:effectLst/>
              <a:latin typeface="+mn-lt"/>
              <a:ea typeface="+mn-ea"/>
              <a:cs typeface="+mn-cs"/>
            </a:rPr>
            <a:t>* Rental ID </a:t>
          </a:r>
        </a:p>
        <a:p>
          <a:pPr marL="0" marR="0" lvl="0" indent="0" algn="l" defTabSz="914400" eaLnBrk="1" fontAlgn="auto" latinLnBrk="0" hangingPunct="1">
            <a:lnSpc>
              <a:spcPct val="100000"/>
            </a:lnSpc>
            <a:spcBef>
              <a:spcPts val="0"/>
            </a:spcBef>
            <a:spcAft>
              <a:spcPts val="0"/>
            </a:spcAft>
            <a:buClrTx/>
            <a:buSzTx/>
            <a:buFontTx/>
            <a:buNone/>
            <a:tabLst/>
            <a:defRPr/>
          </a:pPr>
          <a:r>
            <a:rPr lang="en-AU" sz="1100" b="0" i="0" baseline="0">
              <a:solidFill>
                <a:schemeClr val="lt1"/>
              </a:solidFill>
              <a:effectLst/>
              <a:latin typeface="+mn-lt"/>
              <a:ea typeface="+mn-ea"/>
              <a:cs typeface="+mn-cs"/>
            </a:rPr>
            <a:t>* Customer ID </a:t>
          </a:r>
        </a:p>
        <a:p>
          <a:pPr marL="0" marR="0" lvl="0" indent="0" algn="l" defTabSz="914400" eaLnBrk="1" fontAlgn="auto" latinLnBrk="0" hangingPunct="1">
            <a:lnSpc>
              <a:spcPct val="100000"/>
            </a:lnSpc>
            <a:spcBef>
              <a:spcPts val="0"/>
            </a:spcBef>
            <a:spcAft>
              <a:spcPts val="0"/>
            </a:spcAft>
            <a:buClrTx/>
            <a:buSzTx/>
            <a:buFontTx/>
            <a:buNone/>
            <a:tabLst/>
            <a:defRPr/>
          </a:pPr>
          <a:r>
            <a:rPr lang="en-AU" sz="1100" b="0" i="0" baseline="0">
              <a:solidFill>
                <a:schemeClr val="lt1"/>
              </a:solidFill>
              <a:effectLst/>
              <a:latin typeface="+mn-lt"/>
              <a:ea typeface="+mn-ea"/>
              <a:cs typeface="+mn-cs"/>
            </a:rPr>
            <a:t>* Dress ID </a:t>
          </a:r>
        </a:p>
        <a:p>
          <a:pPr marL="0" marR="0" lvl="0" indent="0" algn="l" defTabSz="914400" eaLnBrk="1" fontAlgn="auto" latinLnBrk="0" hangingPunct="1">
            <a:lnSpc>
              <a:spcPct val="100000"/>
            </a:lnSpc>
            <a:spcBef>
              <a:spcPts val="0"/>
            </a:spcBef>
            <a:spcAft>
              <a:spcPts val="0"/>
            </a:spcAft>
            <a:buClrTx/>
            <a:buSzTx/>
            <a:buFontTx/>
            <a:buNone/>
            <a:tabLst/>
            <a:defRPr/>
          </a:pPr>
          <a:r>
            <a:rPr lang="en-AU" sz="1100" b="0" i="0" baseline="0">
              <a:solidFill>
                <a:schemeClr val="lt1"/>
              </a:solidFill>
              <a:effectLst/>
              <a:latin typeface="+mn-lt"/>
              <a:ea typeface="+mn-ea"/>
              <a:cs typeface="+mn-cs"/>
            </a:rPr>
            <a:t>* Size </a:t>
          </a:r>
        </a:p>
        <a:p>
          <a:pPr marL="0" marR="0" lvl="0" indent="0" algn="l" defTabSz="914400" eaLnBrk="1" fontAlgn="auto" latinLnBrk="0" hangingPunct="1">
            <a:lnSpc>
              <a:spcPct val="100000"/>
            </a:lnSpc>
            <a:spcBef>
              <a:spcPts val="0"/>
            </a:spcBef>
            <a:spcAft>
              <a:spcPts val="0"/>
            </a:spcAft>
            <a:buClrTx/>
            <a:buSzTx/>
            <a:buFontTx/>
            <a:buNone/>
            <a:tabLst/>
            <a:defRPr/>
          </a:pPr>
          <a:r>
            <a:rPr lang="en-AU" sz="1100" b="0" i="0" baseline="0">
              <a:solidFill>
                <a:schemeClr val="lt1"/>
              </a:solidFill>
              <a:effectLst/>
              <a:latin typeface="+mn-lt"/>
              <a:ea typeface="+mn-ea"/>
              <a:cs typeface="+mn-cs"/>
            </a:rPr>
            <a:t>* Quantity </a:t>
          </a:r>
        </a:p>
        <a:p>
          <a:pPr marL="0" marR="0" lvl="0" indent="0" algn="l" defTabSz="914400" eaLnBrk="1" fontAlgn="auto" latinLnBrk="0" hangingPunct="1">
            <a:lnSpc>
              <a:spcPct val="100000"/>
            </a:lnSpc>
            <a:spcBef>
              <a:spcPts val="0"/>
            </a:spcBef>
            <a:spcAft>
              <a:spcPts val="0"/>
            </a:spcAft>
            <a:buClrTx/>
            <a:buSzTx/>
            <a:buFontTx/>
            <a:buNone/>
            <a:tabLst/>
            <a:defRPr/>
          </a:pPr>
          <a:r>
            <a:rPr lang="en-AU" sz="1100" b="0" i="0" baseline="0">
              <a:solidFill>
                <a:schemeClr val="lt1"/>
              </a:solidFill>
              <a:effectLst/>
              <a:latin typeface="+mn-lt"/>
              <a:ea typeface="+mn-ea"/>
              <a:cs typeface="+mn-cs"/>
            </a:rPr>
            <a:t>* Date Rented </a:t>
          </a:r>
        </a:p>
        <a:p>
          <a:pPr marL="0" marR="0" lvl="0" indent="0" algn="l" defTabSz="914400" eaLnBrk="1" fontAlgn="auto" latinLnBrk="0" hangingPunct="1">
            <a:lnSpc>
              <a:spcPct val="100000"/>
            </a:lnSpc>
            <a:spcBef>
              <a:spcPts val="0"/>
            </a:spcBef>
            <a:spcAft>
              <a:spcPts val="0"/>
            </a:spcAft>
            <a:buClrTx/>
            <a:buSzTx/>
            <a:buFontTx/>
            <a:buNone/>
            <a:tabLst/>
            <a:defRPr/>
          </a:pPr>
          <a:endParaRPr lang="en-AU" sz="1100" b="0" i="0" baseline="0">
            <a:solidFill>
              <a:schemeClr val="lt1"/>
            </a:solidFill>
            <a:effectLst/>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lang="en-AU" sz="1100" b="0" i="0" baseline="0">
              <a:solidFill>
                <a:schemeClr val="lt1"/>
              </a:solidFill>
              <a:effectLst/>
              <a:latin typeface="+mn-lt"/>
              <a:ea typeface="+mn-ea"/>
              <a:cs typeface="+mn-cs"/>
            </a:rPr>
            <a:t>Whilst the following aspects will be highlihgted yellow</a:t>
          </a:r>
        </a:p>
        <a:p>
          <a:pPr marL="0" marR="0" lvl="0" indent="0" algn="l" defTabSz="914400" eaLnBrk="1" fontAlgn="auto" latinLnBrk="0" hangingPunct="1">
            <a:lnSpc>
              <a:spcPct val="100000"/>
            </a:lnSpc>
            <a:spcBef>
              <a:spcPts val="0"/>
            </a:spcBef>
            <a:spcAft>
              <a:spcPts val="0"/>
            </a:spcAft>
            <a:buClrTx/>
            <a:buSzTx/>
            <a:buFontTx/>
            <a:buNone/>
            <a:tabLst/>
            <a:defRPr/>
          </a:pPr>
          <a:r>
            <a:rPr lang="en-AU" sz="1100" b="0" i="0" baseline="0">
              <a:solidFill>
                <a:schemeClr val="lt1"/>
              </a:solidFill>
              <a:effectLst/>
              <a:latin typeface="+mn-lt"/>
              <a:ea typeface="+mn-ea"/>
              <a:cs typeface="+mn-cs"/>
            </a:rPr>
            <a:t>* Date Returned </a:t>
          </a:r>
        </a:p>
        <a:p>
          <a:pPr marL="0" marR="0" lvl="0" indent="0" algn="l" defTabSz="914400" eaLnBrk="1" fontAlgn="auto" latinLnBrk="0" hangingPunct="1">
            <a:lnSpc>
              <a:spcPct val="100000"/>
            </a:lnSpc>
            <a:spcBef>
              <a:spcPts val="0"/>
            </a:spcBef>
            <a:spcAft>
              <a:spcPts val="0"/>
            </a:spcAft>
            <a:buClrTx/>
            <a:buSzTx/>
            <a:buFontTx/>
            <a:buNone/>
            <a:tabLst/>
            <a:defRPr/>
          </a:pPr>
          <a:r>
            <a:rPr lang="en-AU" sz="1100" b="0" i="0" baseline="0">
              <a:solidFill>
                <a:schemeClr val="lt1"/>
              </a:solidFill>
              <a:effectLst/>
              <a:latin typeface="+mn-lt"/>
              <a:ea typeface="+mn-ea"/>
              <a:cs typeface="+mn-cs"/>
            </a:rPr>
            <a:t>* Returned Condition </a:t>
          </a:r>
        </a:p>
        <a:p>
          <a:pPr marL="0" marR="0" lvl="0" indent="0" algn="l" defTabSz="914400" eaLnBrk="1" fontAlgn="auto" latinLnBrk="0" hangingPunct="1">
            <a:lnSpc>
              <a:spcPct val="100000"/>
            </a:lnSpc>
            <a:spcBef>
              <a:spcPts val="0"/>
            </a:spcBef>
            <a:spcAft>
              <a:spcPts val="0"/>
            </a:spcAft>
            <a:buClrTx/>
            <a:buSzTx/>
            <a:buFontTx/>
            <a:buNone/>
            <a:tabLst/>
            <a:defRPr/>
          </a:pPr>
          <a:r>
            <a:rPr lang="en-AU" sz="1100" b="0" i="0" baseline="0">
              <a:solidFill>
                <a:schemeClr val="lt1"/>
              </a:solidFill>
              <a:effectLst/>
              <a:latin typeface="+mn-lt"/>
              <a:ea typeface="+mn-ea"/>
              <a:cs typeface="+mn-cs"/>
            </a:rPr>
            <a:t>* Total Amount </a:t>
          </a:r>
          <a:endParaRPr lang="en-AU">
            <a:effectLst/>
          </a:endParaRPr>
        </a:p>
        <a:p>
          <a:pPr algn="l"/>
          <a:endParaRPr lang="en-AU" sz="1100" b="0" i="0" u="none" baseline="0"/>
        </a:p>
        <a:p>
          <a:pPr algn="l"/>
          <a:r>
            <a:rPr lang="en-AU" sz="1100" b="0" i="0" u="none" baseline="0"/>
            <a:t>Onced confirm order has been clicked quantity will update based on the quantity chosen by the user. At the same time the user will be taken back to the Main Menu form. </a:t>
          </a:r>
        </a:p>
        <a:p>
          <a:pPr algn="l"/>
          <a:endParaRPr lang="en-AU" sz="1100" b="0" i="0" u="none" baseline="0"/>
        </a:p>
        <a:p>
          <a:pPr algn="l"/>
          <a:endParaRPr lang="en-AU" sz="1100" b="0" i="0" u="none" baseline="0"/>
        </a:p>
        <a:p>
          <a:pPr algn="l"/>
          <a:endParaRPr lang="en-AU" sz="1100" b="0" i="0" u="none" baseline="0"/>
        </a:p>
        <a:p>
          <a:pPr algn="l"/>
          <a:r>
            <a:rPr lang="en-AU" sz="1100" b="0" i="0" u="none" baseline="0"/>
            <a:t> </a:t>
          </a:r>
        </a:p>
        <a:p>
          <a:pPr algn="l"/>
          <a:endParaRPr lang="en-AU" sz="1100" i="0" u="none" baseline="0"/>
        </a:p>
      </xdr:txBody>
    </xdr:sp>
    <xdr:clientData/>
  </xdr:twoCellAnchor>
  <xdr:twoCellAnchor editAs="oneCell">
    <xdr:from>
      <xdr:col>3</xdr:col>
      <xdr:colOff>133350</xdr:colOff>
      <xdr:row>5</xdr:row>
      <xdr:rowOff>44450</xdr:rowOff>
    </xdr:from>
    <xdr:to>
      <xdr:col>4</xdr:col>
      <xdr:colOff>222250</xdr:colOff>
      <xdr:row>8</xdr:row>
      <xdr:rowOff>44450</xdr:rowOff>
    </xdr:to>
    <xdr:pic macro="[0]!ShowMenu">
      <xdr:nvPicPr>
        <xdr:cNvPr id="4" name="CommandButton1">
          <a:extLst>
            <a:ext uri="{FF2B5EF4-FFF2-40B4-BE49-F238E27FC236}">
              <a16:creationId xmlns:a16="http://schemas.microsoft.com/office/drawing/2014/main" id="{18713301-C924-8C74-C9F7-58C543A8CE4B}"/>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606800" y="1238250"/>
          <a:ext cx="1098550" cy="55245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62CAFC-3B5E-45CE-9601-4C3BD4ECE58A}">
  <sheetPr codeName="Sheet5"/>
  <dimension ref="A1:H7"/>
  <sheetViews>
    <sheetView tabSelected="1" zoomScale="64" zoomScaleNormal="73" workbookViewId="0">
      <selection activeCell="K8" sqref="K8"/>
    </sheetView>
  </sheetViews>
  <sheetFormatPr defaultColWidth="8.77734375" defaultRowHeight="14.4"/>
  <cols>
    <col min="1" max="1" width="6.77734375" customWidth="1"/>
    <col min="2" max="2" width="16.44140625" customWidth="1"/>
    <col min="3" max="3" width="26.44140625" customWidth="1"/>
    <col min="4" max="4" width="14.44140625" customWidth="1"/>
    <col min="7" max="7" width="8.77734375" customWidth="1"/>
  </cols>
  <sheetData>
    <row r="1" spans="1:8" ht="36.6">
      <c r="A1" s="18" t="s">
        <v>0</v>
      </c>
      <c r="B1" s="18"/>
      <c r="C1" s="18"/>
      <c r="D1" s="18"/>
      <c r="E1" s="18"/>
      <c r="F1" s="18"/>
      <c r="G1" s="18"/>
      <c r="H1" s="18"/>
    </row>
    <row r="3" spans="1:8">
      <c r="B3" s="17" t="s">
        <v>1</v>
      </c>
      <c r="C3" s="17"/>
    </row>
    <row r="4" spans="1:8">
      <c r="B4" s="8" t="s">
        <v>2</v>
      </c>
      <c r="C4" s="7" t="s">
        <v>3</v>
      </c>
    </row>
    <row r="5" spans="1:8">
      <c r="B5" s="15" t="s">
        <v>4</v>
      </c>
      <c r="C5" s="7" t="s">
        <v>210</v>
      </c>
    </row>
    <row r="6" spans="1:8">
      <c r="B6" s="16"/>
      <c r="C6" s="7" t="s">
        <v>211</v>
      </c>
    </row>
    <row r="7" spans="1:8">
      <c r="B7" s="8" t="s">
        <v>5</v>
      </c>
      <c r="C7" s="10">
        <v>44829</v>
      </c>
    </row>
  </sheetData>
  <mergeCells count="3">
    <mergeCell ref="B5:B6"/>
    <mergeCell ref="B3:C3"/>
    <mergeCell ref="A1:H1"/>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21"/>
  <sheetViews>
    <sheetView zoomScale="82" zoomScaleNormal="100" workbookViewId="0">
      <selection activeCell="A22" sqref="A22"/>
    </sheetView>
  </sheetViews>
  <sheetFormatPr defaultColWidth="8.77734375" defaultRowHeight="14.4"/>
  <cols>
    <col min="1" max="1" width="11.77734375" bestFit="1" customWidth="1"/>
    <col min="2" max="2" width="9.77734375" bestFit="1" customWidth="1"/>
    <col min="3" max="3" width="12.21875" bestFit="1" customWidth="1"/>
    <col min="4" max="4" width="29.44140625" bestFit="1" customWidth="1"/>
    <col min="5" max="5" width="17.44140625" bestFit="1" customWidth="1"/>
    <col min="6" max="6" width="6" bestFit="1" customWidth="1"/>
    <col min="7" max="7" width="8.77734375" style="1"/>
    <col min="8" max="8" width="11.44140625" bestFit="1" customWidth="1"/>
    <col min="9" max="9" width="37.21875" bestFit="1" customWidth="1"/>
  </cols>
  <sheetData>
    <row r="1" spans="1:9">
      <c r="A1" t="s">
        <v>6</v>
      </c>
      <c r="B1" t="s">
        <v>7</v>
      </c>
      <c r="C1" t="s">
        <v>8</v>
      </c>
      <c r="D1" t="s">
        <v>9</v>
      </c>
      <c r="E1" t="s">
        <v>10</v>
      </c>
      <c r="F1" t="s">
        <v>11</v>
      </c>
      <c r="G1" s="1" t="s">
        <v>12</v>
      </c>
      <c r="H1" t="s">
        <v>13</v>
      </c>
      <c r="I1" t="s">
        <v>14</v>
      </c>
    </row>
    <row r="2" spans="1:9">
      <c r="A2" s="6">
        <v>11201</v>
      </c>
      <c r="B2" s="6" t="s">
        <v>15</v>
      </c>
      <c r="C2" s="6" t="s">
        <v>16</v>
      </c>
      <c r="D2" s="6" t="s">
        <v>17</v>
      </c>
      <c r="E2" s="6" t="s">
        <v>18</v>
      </c>
      <c r="F2" s="6" t="s">
        <v>19</v>
      </c>
      <c r="G2" s="6">
        <v>3971</v>
      </c>
      <c r="H2" s="6">
        <v>444359546</v>
      </c>
      <c r="I2" s="6" t="s">
        <v>20</v>
      </c>
    </row>
    <row r="3" spans="1:9">
      <c r="A3" s="6">
        <v>11202</v>
      </c>
      <c r="B3" s="6" t="s">
        <v>21</v>
      </c>
      <c r="C3" s="6" t="s">
        <v>22</v>
      </c>
      <c r="D3" s="6" t="s">
        <v>23</v>
      </c>
      <c r="E3" s="6" t="s">
        <v>24</v>
      </c>
      <c r="F3" s="6" t="s">
        <v>19</v>
      </c>
      <c r="G3" s="6">
        <v>3995</v>
      </c>
      <c r="H3" s="6">
        <v>497868525</v>
      </c>
      <c r="I3" s="6" t="s">
        <v>25</v>
      </c>
    </row>
    <row r="4" spans="1:9">
      <c r="A4" s="6">
        <v>11203</v>
      </c>
      <c r="B4" s="6" t="s">
        <v>26</v>
      </c>
      <c r="C4" s="6" t="s">
        <v>27</v>
      </c>
      <c r="D4" s="6" t="s">
        <v>28</v>
      </c>
      <c r="E4" s="6" t="s">
        <v>29</v>
      </c>
      <c r="F4" s="6" t="s">
        <v>30</v>
      </c>
      <c r="G4" s="6">
        <v>2259</v>
      </c>
      <c r="H4" s="6">
        <v>461862457</v>
      </c>
      <c r="I4" s="6" t="s">
        <v>31</v>
      </c>
    </row>
    <row r="5" spans="1:9">
      <c r="A5" s="6">
        <v>11204</v>
      </c>
      <c r="B5" s="6" t="s">
        <v>32</v>
      </c>
      <c r="C5" s="6" t="s">
        <v>33</v>
      </c>
      <c r="D5" s="6" t="s">
        <v>34</v>
      </c>
      <c r="E5" s="6" t="s">
        <v>35</v>
      </c>
      <c r="F5" s="6" t="s">
        <v>30</v>
      </c>
      <c r="G5" s="6">
        <v>2529</v>
      </c>
      <c r="H5" s="6">
        <v>427970674</v>
      </c>
      <c r="I5" s="6" t="s">
        <v>36</v>
      </c>
    </row>
    <row r="6" spans="1:9">
      <c r="A6" s="6">
        <v>11205</v>
      </c>
      <c r="B6" s="6" t="s">
        <v>37</v>
      </c>
      <c r="C6" s="6" t="s">
        <v>38</v>
      </c>
      <c r="D6" s="6" t="s">
        <v>39</v>
      </c>
      <c r="E6" s="6" t="s">
        <v>40</v>
      </c>
      <c r="F6" s="6" t="s">
        <v>19</v>
      </c>
      <c r="G6" s="6">
        <v>3782</v>
      </c>
      <c r="H6" s="6">
        <v>441978907</v>
      </c>
      <c r="I6" s="6" t="s">
        <v>41</v>
      </c>
    </row>
    <row r="7" spans="1:9">
      <c r="A7" s="6">
        <v>11206</v>
      </c>
      <c r="B7" s="6" t="s">
        <v>42</v>
      </c>
      <c r="C7" s="6" t="s">
        <v>43</v>
      </c>
      <c r="D7" s="6" t="s">
        <v>44</v>
      </c>
      <c r="E7" s="6" t="s">
        <v>45</v>
      </c>
      <c r="F7" s="6" t="s">
        <v>46</v>
      </c>
      <c r="G7" s="6">
        <v>4505</v>
      </c>
      <c r="H7" s="6">
        <v>496441929</v>
      </c>
      <c r="I7" s="6" t="s">
        <v>47</v>
      </c>
    </row>
    <row r="8" spans="1:9">
      <c r="A8" s="6">
        <v>11207</v>
      </c>
      <c r="B8" s="6" t="s">
        <v>48</v>
      </c>
      <c r="C8" s="6" t="s">
        <v>49</v>
      </c>
      <c r="D8" s="6" t="s">
        <v>50</v>
      </c>
      <c r="E8" s="6" t="s">
        <v>51</v>
      </c>
      <c r="F8" s="6" t="s">
        <v>30</v>
      </c>
      <c r="G8" s="6">
        <v>2083</v>
      </c>
      <c r="H8" s="6">
        <v>465778983</v>
      </c>
      <c r="I8" s="6" t="s">
        <v>52</v>
      </c>
    </row>
    <row r="9" spans="1:9">
      <c r="A9" s="6">
        <v>11208</v>
      </c>
      <c r="B9" s="6" t="s">
        <v>53</v>
      </c>
      <c r="C9" s="6" t="s">
        <v>54</v>
      </c>
      <c r="D9" s="6" t="s">
        <v>55</v>
      </c>
      <c r="E9" s="6" t="s">
        <v>56</v>
      </c>
      <c r="F9" s="6" t="s">
        <v>30</v>
      </c>
      <c r="G9" s="6">
        <v>2261</v>
      </c>
      <c r="H9" s="6">
        <v>444150950</v>
      </c>
      <c r="I9" s="6" t="s">
        <v>57</v>
      </c>
    </row>
    <row r="10" spans="1:9">
      <c r="A10" s="6">
        <v>11209</v>
      </c>
      <c r="B10" s="6" t="s">
        <v>58</v>
      </c>
      <c r="C10" s="6" t="s">
        <v>59</v>
      </c>
      <c r="D10" s="6" t="s">
        <v>60</v>
      </c>
      <c r="E10" s="6" t="s">
        <v>61</v>
      </c>
      <c r="F10" s="6" t="s">
        <v>19</v>
      </c>
      <c r="G10" s="6">
        <v>3557</v>
      </c>
      <c r="H10" s="6">
        <v>495838492</v>
      </c>
      <c r="I10" s="6" t="s">
        <v>62</v>
      </c>
    </row>
    <row r="11" spans="1:9">
      <c r="A11" s="6">
        <v>11210</v>
      </c>
      <c r="B11" s="6" t="s">
        <v>63</v>
      </c>
      <c r="C11" s="6" t="s">
        <v>64</v>
      </c>
      <c r="D11" s="6" t="s">
        <v>65</v>
      </c>
      <c r="E11" s="6" t="s">
        <v>66</v>
      </c>
      <c r="F11" s="6" t="s">
        <v>67</v>
      </c>
      <c r="G11" s="6">
        <v>6280</v>
      </c>
      <c r="H11" s="6">
        <v>419138629</v>
      </c>
      <c r="I11" s="6" t="s">
        <v>68</v>
      </c>
    </row>
    <row r="12" spans="1:9">
      <c r="A12" s="6">
        <v>11211</v>
      </c>
      <c r="B12" s="6" t="s">
        <v>69</v>
      </c>
      <c r="C12" s="6" t="s">
        <v>70</v>
      </c>
      <c r="D12" s="6" t="s">
        <v>71</v>
      </c>
      <c r="E12" s="6" t="s">
        <v>72</v>
      </c>
      <c r="F12" s="6" t="s">
        <v>73</v>
      </c>
      <c r="G12" s="6">
        <v>7172</v>
      </c>
      <c r="H12" s="6">
        <v>488223788</v>
      </c>
      <c r="I12" s="6" t="s">
        <v>74</v>
      </c>
    </row>
    <row r="13" spans="1:9">
      <c r="A13" s="6">
        <v>11212</v>
      </c>
      <c r="B13" s="6" t="s">
        <v>75</v>
      </c>
      <c r="C13" s="6" t="s">
        <v>76</v>
      </c>
      <c r="D13" s="6" t="s">
        <v>77</v>
      </c>
      <c r="E13" s="6" t="s">
        <v>78</v>
      </c>
      <c r="F13" s="6" t="s">
        <v>30</v>
      </c>
      <c r="G13" s="6">
        <v>2675</v>
      </c>
      <c r="H13" s="6">
        <v>496387592</v>
      </c>
      <c r="I13" s="6" t="s">
        <v>79</v>
      </c>
    </row>
    <row r="14" spans="1:9">
      <c r="A14" s="6">
        <v>11213</v>
      </c>
      <c r="B14" s="6" t="s">
        <v>80</v>
      </c>
      <c r="C14" s="6" t="s">
        <v>81</v>
      </c>
      <c r="D14" s="6" t="s">
        <v>82</v>
      </c>
      <c r="E14" s="6" t="s">
        <v>83</v>
      </c>
      <c r="F14" s="6" t="s">
        <v>19</v>
      </c>
      <c r="G14" s="6">
        <v>3221</v>
      </c>
      <c r="H14" s="6">
        <v>480676186</v>
      </c>
      <c r="I14" s="6" t="s">
        <v>84</v>
      </c>
    </row>
    <row r="15" spans="1:9">
      <c r="A15" s="6">
        <v>11214</v>
      </c>
      <c r="B15" s="6" t="s">
        <v>85</v>
      </c>
      <c r="C15" s="6" t="s">
        <v>86</v>
      </c>
      <c r="D15" s="6" t="s">
        <v>87</v>
      </c>
      <c r="E15" s="6" t="s">
        <v>88</v>
      </c>
      <c r="F15" s="6" t="s">
        <v>46</v>
      </c>
      <c r="G15" s="6">
        <v>4816</v>
      </c>
      <c r="H15" s="6">
        <v>423446913</v>
      </c>
      <c r="I15" s="6" t="s">
        <v>89</v>
      </c>
    </row>
    <row r="16" spans="1:9">
      <c r="A16" s="6">
        <v>11215</v>
      </c>
      <c r="B16" s="6" t="s">
        <v>90</v>
      </c>
      <c r="C16" s="6" t="s">
        <v>91</v>
      </c>
      <c r="D16" s="6" t="s">
        <v>92</v>
      </c>
      <c r="E16" s="6" t="s">
        <v>93</v>
      </c>
      <c r="F16" s="6" t="s">
        <v>19</v>
      </c>
      <c r="G16" s="6">
        <v>3249</v>
      </c>
      <c r="H16" s="6">
        <v>462327613</v>
      </c>
      <c r="I16" s="6" t="s">
        <v>94</v>
      </c>
    </row>
    <row r="17" spans="1:9">
      <c r="A17" s="6">
        <v>11216</v>
      </c>
      <c r="B17" s="6" t="s">
        <v>95</v>
      </c>
      <c r="C17" s="6" t="s">
        <v>96</v>
      </c>
      <c r="D17" s="6" t="s">
        <v>97</v>
      </c>
      <c r="E17" s="6" t="s">
        <v>98</v>
      </c>
      <c r="F17" s="6" t="s">
        <v>99</v>
      </c>
      <c r="G17" s="6">
        <v>5172</v>
      </c>
      <c r="H17" s="6">
        <v>471106909</v>
      </c>
      <c r="I17" s="6" t="s">
        <v>100</v>
      </c>
    </row>
    <row r="18" spans="1:9">
      <c r="A18" s="6">
        <v>11217</v>
      </c>
      <c r="B18" s="6" t="s">
        <v>101</v>
      </c>
      <c r="C18" s="6" t="s">
        <v>102</v>
      </c>
      <c r="D18" s="6" t="s">
        <v>103</v>
      </c>
      <c r="E18" s="6" t="s">
        <v>104</v>
      </c>
      <c r="F18" s="6" t="s">
        <v>73</v>
      </c>
      <c r="G18" s="6">
        <v>7264</v>
      </c>
      <c r="H18" s="6">
        <v>416394795</v>
      </c>
      <c r="I18" s="6" t="s">
        <v>105</v>
      </c>
    </row>
    <row r="19" spans="1:9">
      <c r="A19" s="6">
        <v>11218</v>
      </c>
      <c r="B19" s="6" t="s">
        <v>106</v>
      </c>
      <c r="C19" s="6" t="s">
        <v>107</v>
      </c>
      <c r="D19" s="6" t="s">
        <v>108</v>
      </c>
      <c r="E19" s="6" t="s">
        <v>109</v>
      </c>
      <c r="F19" s="6" t="s">
        <v>46</v>
      </c>
      <c r="G19" s="6">
        <v>4719</v>
      </c>
      <c r="H19" s="6">
        <v>462627260</v>
      </c>
      <c r="I19" s="6" t="s">
        <v>110</v>
      </c>
    </row>
    <row r="20" spans="1:9">
      <c r="A20" s="6">
        <v>11219</v>
      </c>
      <c r="B20" s="6" t="s">
        <v>111</v>
      </c>
      <c r="C20" s="6" t="s">
        <v>112</v>
      </c>
      <c r="D20" s="6" t="s">
        <v>113</v>
      </c>
      <c r="E20" s="6" t="s">
        <v>114</v>
      </c>
      <c r="F20" s="6" t="s">
        <v>46</v>
      </c>
      <c r="G20" s="6">
        <v>4030</v>
      </c>
      <c r="H20" s="6">
        <v>427991688</v>
      </c>
      <c r="I20" s="6" t="s">
        <v>115</v>
      </c>
    </row>
    <row r="21" spans="1:9">
      <c r="A21" s="6">
        <v>11220</v>
      </c>
      <c r="B21" s="6" t="s">
        <v>116</v>
      </c>
      <c r="C21" s="6" t="s">
        <v>117</v>
      </c>
      <c r="D21" s="6" t="s">
        <v>118</v>
      </c>
      <c r="E21" s="6" t="s">
        <v>119</v>
      </c>
      <c r="F21" s="6" t="s">
        <v>46</v>
      </c>
      <c r="G21" s="6">
        <v>4343</v>
      </c>
      <c r="H21" s="6">
        <v>480443612</v>
      </c>
      <c r="I21" s="6" t="s">
        <v>120</v>
      </c>
    </row>
  </sheetData>
  <phoneticPr fontId="1" type="noConversion"/>
  <pageMargins left="0.7" right="0.7" top="0.75" bottom="0.75" header="0.3" footer="0.3"/>
  <pageSetup paperSize="9"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E5FAEF-7D10-4AC0-A9A7-C659CC0BB421}">
  <sheetPr codeName="Sheet2"/>
  <dimension ref="A1:G21"/>
  <sheetViews>
    <sheetView zoomScale="135" workbookViewId="0">
      <selection activeCell="C7" sqref="C7"/>
    </sheetView>
  </sheetViews>
  <sheetFormatPr defaultColWidth="8.77734375" defaultRowHeight="14.4"/>
  <cols>
    <col min="2" max="2" width="21.21875" bestFit="1" customWidth="1"/>
    <col min="3" max="3" width="19.44140625" bestFit="1" customWidth="1"/>
    <col min="4" max="4" width="7.44140625" bestFit="1" customWidth="1"/>
    <col min="5" max="5" width="11.21875" bestFit="1" customWidth="1"/>
    <col min="6" max="6" width="10.77734375" bestFit="1" customWidth="1"/>
  </cols>
  <sheetData>
    <row r="1" spans="1:7">
      <c r="A1" t="s">
        <v>121</v>
      </c>
      <c r="B1" t="s">
        <v>122</v>
      </c>
      <c r="C1" t="s">
        <v>123</v>
      </c>
      <c r="D1" t="s">
        <v>124</v>
      </c>
      <c r="E1" t="s">
        <v>125</v>
      </c>
      <c r="F1" t="s">
        <v>126</v>
      </c>
    </row>
    <row r="2" spans="1:7">
      <c r="A2">
        <v>101</v>
      </c>
      <c r="B2" t="s">
        <v>127</v>
      </c>
      <c r="C2" t="s">
        <v>128</v>
      </c>
      <c r="D2" t="s">
        <v>129</v>
      </c>
      <c r="E2">
        <v>150</v>
      </c>
      <c r="F2">
        <v>4780</v>
      </c>
    </row>
    <row r="3" spans="1:7">
      <c r="A3">
        <v>102</v>
      </c>
      <c r="B3" t="s">
        <v>130</v>
      </c>
      <c r="C3" t="s">
        <v>131</v>
      </c>
      <c r="D3" t="s">
        <v>132</v>
      </c>
      <c r="E3">
        <v>165</v>
      </c>
      <c r="F3">
        <v>3980</v>
      </c>
    </row>
    <row r="4" spans="1:7">
      <c r="A4">
        <v>103</v>
      </c>
      <c r="B4" t="s">
        <v>130</v>
      </c>
      <c r="C4" t="s">
        <v>133</v>
      </c>
      <c r="D4" t="s">
        <v>134</v>
      </c>
      <c r="E4">
        <v>175</v>
      </c>
      <c r="F4">
        <v>2998</v>
      </c>
    </row>
    <row r="5" spans="1:7">
      <c r="A5">
        <v>104</v>
      </c>
      <c r="B5" t="s">
        <v>135</v>
      </c>
      <c r="C5" t="s">
        <v>136</v>
      </c>
      <c r="D5" t="s">
        <v>137</v>
      </c>
      <c r="E5">
        <v>150</v>
      </c>
      <c r="F5">
        <v>2450</v>
      </c>
    </row>
    <row r="6" spans="1:7">
      <c r="A6">
        <v>105</v>
      </c>
      <c r="B6" t="s">
        <v>138</v>
      </c>
      <c r="C6" t="s">
        <v>139</v>
      </c>
      <c r="D6" t="s">
        <v>129</v>
      </c>
      <c r="E6">
        <v>50</v>
      </c>
      <c r="F6">
        <v>2395</v>
      </c>
    </row>
    <row r="7" spans="1:7">
      <c r="A7">
        <v>106</v>
      </c>
      <c r="B7" t="s">
        <v>140</v>
      </c>
      <c r="C7" t="s">
        <v>141</v>
      </c>
      <c r="D7" t="s">
        <v>142</v>
      </c>
      <c r="E7">
        <v>100</v>
      </c>
      <c r="F7">
        <v>3698</v>
      </c>
    </row>
    <row r="8" spans="1:7">
      <c r="A8">
        <v>107</v>
      </c>
      <c r="B8" t="s">
        <v>140</v>
      </c>
      <c r="C8" t="s">
        <v>143</v>
      </c>
      <c r="D8" t="s">
        <v>144</v>
      </c>
      <c r="E8">
        <v>195</v>
      </c>
      <c r="F8">
        <v>3980</v>
      </c>
    </row>
    <row r="9" spans="1:7">
      <c r="A9">
        <v>108</v>
      </c>
      <c r="B9" t="s">
        <v>145</v>
      </c>
      <c r="C9" t="s">
        <v>146</v>
      </c>
      <c r="D9" t="s">
        <v>147</v>
      </c>
      <c r="E9">
        <v>199</v>
      </c>
      <c r="F9">
        <v>3300</v>
      </c>
    </row>
    <row r="10" spans="1:7">
      <c r="A10">
        <v>109</v>
      </c>
      <c r="B10" t="s">
        <v>148</v>
      </c>
      <c r="C10" t="s">
        <v>149</v>
      </c>
      <c r="D10" t="s">
        <v>150</v>
      </c>
      <c r="E10">
        <v>150</v>
      </c>
      <c r="F10">
        <v>3490</v>
      </c>
      <c r="G10" t="s">
        <v>151</v>
      </c>
    </row>
    <row r="11" spans="1:7">
      <c r="A11">
        <v>110</v>
      </c>
      <c r="B11" t="s">
        <v>152</v>
      </c>
      <c r="C11" t="s">
        <v>153</v>
      </c>
      <c r="D11" t="s">
        <v>154</v>
      </c>
      <c r="E11">
        <v>150</v>
      </c>
      <c r="F11">
        <v>4350</v>
      </c>
    </row>
    <row r="12" spans="1:7">
      <c r="A12">
        <v>111</v>
      </c>
      <c r="B12" t="s">
        <v>152</v>
      </c>
      <c r="C12" t="s">
        <v>155</v>
      </c>
      <c r="D12" t="s">
        <v>156</v>
      </c>
      <c r="E12">
        <v>150</v>
      </c>
      <c r="F12">
        <v>1350</v>
      </c>
    </row>
    <row r="13" spans="1:7">
      <c r="A13">
        <v>112</v>
      </c>
      <c r="B13" t="s">
        <v>157</v>
      </c>
      <c r="C13" t="s">
        <v>158</v>
      </c>
      <c r="D13" t="s">
        <v>154</v>
      </c>
      <c r="E13">
        <v>190</v>
      </c>
      <c r="F13">
        <v>3295</v>
      </c>
    </row>
    <row r="14" spans="1:7">
      <c r="A14">
        <v>113</v>
      </c>
      <c r="B14" t="s">
        <v>159</v>
      </c>
      <c r="C14" t="s">
        <v>160</v>
      </c>
      <c r="D14" t="s">
        <v>150</v>
      </c>
      <c r="E14">
        <v>200</v>
      </c>
      <c r="F14">
        <v>3980</v>
      </c>
    </row>
    <row r="15" spans="1:7">
      <c r="A15">
        <v>114</v>
      </c>
      <c r="B15" t="s">
        <v>159</v>
      </c>
      <c r="C15" t="s">
        <v>161</v>
      </c>
      <c r="D15" t="s">
        <v>162</v>
      </c>
      <c r="E15">
        <v>175</v>
      </c>
      <c r="F15">
        <v>4290</v>
      </c>
    </row>
    <row r="16" spans="1:7">
      <c r="A16">
        <v>115</v>
      </c>
      <c r="B16" t="s">
        <v>163</v>
      </c>
      <c r="C16" t="s">
        <v>164</v>
      </c>
      <c r="D16" t="s">
        <v>147</v>
      </c>
      <c r="E16">
        <v>250</v>
      </c>
      <c r="F16">
        <v>2750</v>
      </c>
    </row>
    <row r="17" spans="1:6">
      <c r="A17">
        <v>116</v>
      </c>
      <c r="B17" t="s">
        <v>165</v>
      </c>
      <c r="C17" t="s">
        <v>166</v>
      </c>
      <c r="D17" t="s">
        <v>162</v>
      </c>
      <c r="E17">
        <v>250</v>
      </c>
      <c r="F17">
        <v>2850</v>
      </c>
    </row>
    <row r="18" spans="1:6">
      <c r="A18">
        <v>117</v>
      </c>
      <c r="B18" t="s">
        <v>167</v>
      </c>
      <c r="C18" t="s">
        <v>168</v>
      </c>
      <c r="D18" t="s">
        <v>169</v>
      </c>
      <c r="E18">
        <v>150</v>
      </c>
      <c r="F18">
        <v>1590</v>
      </c>
    </row>
    <row r="19" spans="1:6">
      <c r="A19">
        <v>118</v>
      </c>
      <c r="B19" t="s">
        <v>170</v>
      </c>
      <c r="C19" t="s">
        <v>171</v>
      </c>
      <c r="D19" t="s">
        <v>172</v>
      </c>
      <c r="E19">
        <v>125</v>
      </c>
      <c r="F19">
        <v>1780</v>
      </c>
    </row>
    <row r="20" spans="1:6">
      <c r="A20">
        <v>119</v>
      </c>
      <c r="B20" t="s">
        <v>173</v>
      </c>
      <c r="C20" t="s">
        <v>174</v>
      </c>
      <c r="D20" t="s">
        <v>175</v>
      </c>
      <c r="E20">
        <v>110</v>
      </c>
      <c r="F20">
        <v>1999</v>
      </c>
    </row>
    <row r="21" spans="1:6">
      <c r="A21">
        <v>120</v>
      </c>
      <c r="B21" t="s">
        <v>173</v>
      </c>
      <c r="C21" t="s">
        <v>176</v>
      </c>
      <c r="D21" t="s">
        <v>137</v>
      </c>
      <c r="E21">
        <v>160</v>
      </c>
      <c r="F21">
        <v>2680</v>
      </c>
    </row>
  </sheetData>
  <sortState xmlns:xlrd2="http://schemas.microsoft.com/office/spreadsheetml/2017/richdata2" ref="A2:F21">
    <sortCondition ref="B2:B21"/>
  </sortState>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577BE7-1624-42DE-8E55-915C8DA696C4}">
  <sheetPr codeName="Sheet3"/>
  <dimension ref="A1:K75"/>
  <sheetViews>
    <sheetView zoomScaleNormal="100" workbookViewId="0">
      <selection activeCell="J9" sqref="J9"/>
    </sheetView>
  </sheetViews>
  <sheetFormatPr defaultColWidth="8.77734375" defaultRowHeight="14.4"/>
  <sheetData>
    <row r="1" spans="1:11">
      <c r="A1" t="s">
        <v>121</v>
      </c>
      <c r="B1" t="s">
        <v>177</v>
      </c>
      <c r="C1" t="s">
        <v>178</v>
      </c>
    </row>
    <row r="2" spans="1:11">
      <c r="A2">
        <v>101</v>
      </c>
      <c r="B2">
        <v>5</v>
      </c>
      <c r="C2">
        <v>3</v>
      </c>
    </row>
    <row r="3" spans="1:11">
      <c r="A3">
        <v>101</v>
      </c>
      <c r="B3">
        <v>7</v>
      </c>
      <c r="C3">
        <v>7</v>
      </c>
    </row>
    <row r="4" spans="1:11">
      <c r="A4">
        <v>101</v>
      </c>
      <c r="B4">
        <v>10</v>
      </c>
      <c r="C4">
        <v>2</v>
      </c>
    </row>
    <row r="5" spans="1:11">
      <c r="A5">
        <v>102</v>
      </c>
      <c r="B5">
        <v>5</v>
      </c>
      <c r="C5">
        <v>6</v>
      </c>
    </row>
    <row r="6" spans="1:11">
      <c r="A6">
        <v>102</v>
      </c>
      <c r="B6">
        <v>6</v>
      </c>
      <c r="C6">
        <v>3</v>
      </c>
    </row>
    <row r="7" spans="1:11">
      <c r="A7">
        <v>102</v>
      </c>
      <c r="B7">
        <v>10</v>
      </c>
      <c r="C7">
        <v>6</v>
      </c>
    </row>
    <row r="8" spans="1:11">
      <c r="A8">
        <v>102</v>
      </c>
      <c r="B8">
        <v>11</v>
      </c>
      <c r="C8">
        <v>10</v>
      </c>
      <c r="K8" t="s">
        <v>209</v>
      </c>
    </row>
    <row r="9" spans="1:11">
      <c r="A9">
        <v>102</v>
      </c>
      <c r="B9">
        <v>12</v>
      </c>
      <c r="C9">
        <v>6</v>
      </c>
    </row>
    <row r="10" spans="1:11">
      <c r="A10">
        <v>102</v>
      </c>
      <c r="B10">
        <v>13</v>
      </c>
      <c r="C10">
        <v>7</v>
      </c>
    </row>
    <row r="11" spans="1:11">
      <c r="A11">
        <v>103</v>
      </c>
      <c r="B11">
        <v>5</v>
      </c>
      <c r="C11">
        <v>1</v>
      </c>
    </row>
    <row r="12" spans="1:11">
      <c r="A12">
        <v>103</v>
      </c>
      <c r="B12">
        <v>8</v>
      </c>
      <c r="C12">
        <v>1</v>
      </c>
    </row>
    <row r="13" spans="1:11">
      <c r="A13">
        <v>103</v>
      </c>
      <c r="B13">
        <v>12</v>
      </c>
      <c r="C13">
        <v>9</v>
      </c>
    </row>
    <row r="14" spans="1:11">
      <c r="A14">
        <v>103</v>
      </c>
      <c r="B14">
        <v>13</v>
      </c>
      <c r="C14">
        <v>1</v>
      </c>
    </row>
    <row r="15" spans="1:11">
      <c r="A15">
        <v>104</v>
      </c>
      <c r="B15">
        <v>6</v>
      </c>
      <c r="C15">
        <v>10</v>
      </c>
    </row>
    <row r="16" spans="1:11">
      <c r="A16">
        <v>104</v>
      </c>
      <c r="B16">
        <v>7</v>
      </c>
      <c r="C16">
        <v>4</v>
      </c>
    </row>
    <row r="17" spans="1:3">
      <c r="A17">
        <v>104</v>
      </c>
      <c r="B17">
        <v>8</v>
      </c>
      <c r="C17">
        <v>5</v>
      </c>
    </row>
    <row r="18" spans="1:3">
      <c r="A18">
        <v>104</v>
      </c>
      <c r="B18">
        <v>9</v>
      </c>
      <c r="C18">
        <v>8</v>
      </c>
    </row>
    <row r="19" spans="1:3">
      <c r="A19">
        <v>104</v>
      </c>
      <c r="B19">
        <v>10</v>
      </c>
      <c r="C19">
        <v>3</v>
      </c>
    </row>
    <row r="20" spans="1:3">
      <c r="A20">
        <v>104</v>
      </c>
      <c r="B20">
        <v>13</v>
      </c>
      <c r="C20">
        <v>9</v>
      </c>
    </row>
    <row r="21" spans="1:3">
      <c r="A21">
        <v>105</v>
      </c>
      <c r="B21">
        <v>11</v>
      </c>
      <c r="C21">
        <v>4</v>
      </c>
    </row>
    <row r="22" spans="1:3">
      <c r="A22">
        <v>105</v>
      </c>
      <c r="B22">
        <v>12</v>
      </c>
      <c r="C22">
        <v>5</v>
      </c>
    </row>
    <row r="23" spans="1:3">
      <c r="A23">
        <v>105</v>
      </c>
      <c r="B23">
        <v>13</v>
      </c>
      <c r="C23">
        <v>2</v>
      </c>
    </row>
    <row r="24" spans="1:3">
      <c r="A24">
        <v>106</v>
      </c>
      <c r="B24">
        <v>11</v>
      </c>
      <c r="C24">
        <v>3</v>
      </c>
    </row>
    <row r="25" spans="1:3">
      <c r="A25">
        <v>107</v>
      </c>
      <c r="B25">
        <v>5</v>
      </c>
      <c r="C25">
        <v>1</v>
      </c>
    </row>
    <row r="26" spans="1:3">
      <c r="A26">
        <v>107</v>
      </c>
      <c r="B26">
        <v>7</v>
      </c>
      <c r="C26">
        <v>1</v>
      </c>
    </row>
    <row r="27" spans="1:3">
      <c r="A27">
        <v>107</v>
      </c>
      <c r="B27">
        <v>9</v>
      </c>
      <c r="C27">
        <v>10</v>
      </c>
    </row>
    <row r="28" spans="1:3">
      <c r="A28">
        <v>107</v>
      </c>
      <c r="B28">
        <v>10</v>
      </c>
      <c r="C28">
        <v>3</v>
      </c>
    </row>
    <row r="29" spans="1:3">
      <c r="A29">
        <v>108</v>
      </c>
      <c r="B29">
        <v>5</v>
      </c>
      <c r="C29">
        <v>8</v>
      </c>
    </row>
    <row r="30" spans="1:3">
      <c r="A30">
        <v>108</v>
      </c>
      <c r="B30">
        <v>6</v>
      </c>
      <c r="C30">
        <v>1</v>
      </c>
    </row>
    <row r="31" spans="1:3">
      <c r="A31">
        <v>108</v>
      </c>
      <c r="B31">
        <v>7</v>
      </c>
      <c r="C31">
        <v>9</v>
      </c>
    </row>
    <row r="32" spans="1:3">
      <c r="A32">
        <v>108</v>
      </c>
      <c r="B32">
        <v>9</v>
      </c>
      <c r="C32">
        <v>10</v>
      </c>
    </row>
    <row r="33" spans="1:3">
      <c r="A33">
        <v>108</v>
      </c>
      <c r="B33">
        <v>11</v>
      </c>
      <c r="C33">
        <v>1</v>
      </c>
    </row>
    <row r="34" spans="1:3">
      <c r="A34">
        <v>108</v>
      </c>
      <c r="B34">
        <v>13</v>
      </c>
      <c r="C34">
        <v>7</v>
      </c>
    </row>
    <row r="35" spans="1:3">
      <c r="A35">
        <v>109</v>
      </c>
      <c r="B35">
        <v>12</v>
      </c>
      <c r="C35">
        <v>2</v>
      </c>
    </row>
    <row r="36" spans="1:3">
      <c r="A36">
        <v>110</v>
      </c>
      <c r="B36">
        <v>5</v>
      </c>
      <c r="C36">
        <v>1</v>
      </c>
    </row>
    <row r="37" spans="1:3">
      <c r="A37">
        <v>110</v>
      </c>
      <c r="B37">
        <v>6</v>
      </c>
      <c r="C37">
        <v>2</v>
      </c>
    </row>
    <row r="38" spans="1:3">
      <c r="A38">
        <v>111</v>
      </c>
      <c r="B38">
        <v>11</v>
      </c>
      <c r="C38">
        <v>8</v>
      </c>
    </row>
    <row r="39" spans="1:3">
      <c r="A39">
        <v>111</v>
      </c>
      <c r="B39">
        <v>12</v>
      </c>
      <c r="C39">
        <v>10</v>
      </c>
    </row>
    <row r="40" spans="1:3">
      <c r="A40">
        <v>111</v>
      </c>
      <c r="B40">
        <v>13</v>
      </c>
      <c r="C40">
        <v>4</v>
      </c>
    </row>
    <row r="41" spans="1:3">
      <c r="A41">
        <v>112</v>
      </c>
      <c r="B41">
        <v>6</v>
      </c>
      <c r="C41">
        <v>7</v>
      </c>
    </row>
    <row r="42" spans="1:3">
      <c r="A42">
        <v>112</v>
      </c>
      <c r="B42">
        <v>7</v>
      </c>
      <c r="C42">
        <v>5</v>
      </c>
    </row>
    <row r="43" spans="1:3">
      <c r="A43">
        <v>112</v>
      </c>
      <c r="B43">
        <v>9</v>
      </c>
      <c r="C43">
        <v>3</v>
      </c>
    </row>
    <row r="44" spans="1:3">
      <c r="A44">
        <v>112</v>
      </c>
      <c r="B44">
        <v>12</v>
      </c>
      <c r="C44">
        <v>2</v>
      </c>
    </row>
    <row r="45" spans="1:3">
      <c r="A45">
        <v>112</v>
      </c>
      <c r="B45">
        <v>13</v>
      </c>
      <c r="C45">
        <v>1</v>
      </c>
    </row>
    <row r="46" spans="1:3">
      <c r="A46">
        <v>113</v>
      </c>
      <c r="B46">
        <v>6</v>
      </c>
      <c r="C46">
        <v>4</v>
      </c>
    </row>
    <row r="47" spans="1:3">
      <c r="A47">
        <v>113</v>
      </c>
      <c r="B47">
        <v>8</v>
      </c>
      <c r="C47">
        <v>6</v>
      </c>
    </row>
    <row r="48" spans="1:3">
      <c r="A48">
        <v>113</v>
      </c>
      <c r="B48">
        <v>10</v>
      </c>
      <c r="C48">
        <v>9</v>
      </c>
    </row>
    <row r="49" spans="1:3">
      <c r="A49">
        <v>113</v>
      </c>
      <c r="B49">
        <v>11</v>
      </c>
      <c r="C49">
        <v>5</v>
      </c>
    </row>
    <row r="50" spans="1:3">
      <c r="A50">
        <v>114</v>
      </c>
      <c r="B50">
        <v>8</v>
      </c>
      <c r="C50">
        <v>9</v>
      </c>
    </row>
    <row r="51" spans="1:3">
      <c r="A51">
        <v>114</v>
      </c>
      <c r="B51">
        <v>9</v>
      </c>
      <c r="C51">
        <v>5</v>
      </c>
    </row>
    <row r="52" spans="1:3">
      <c r="A52">
        <v>114</v>
      </c>
      <c r="B52">
        <v>10</v>
      </c>
      <c r="C52">
        <v>9</v>
      </c>
    </row>
    <row r="53" spans="1:3">
      <c r="A53">
        <v>115</v>
      </c>
      <c r="B53">
        <v>11</v>
      </c>
      <c r="C53">
        <v>8</v>
      </c>
    </row>
    <row r="54" spans="1:3">
      <c r="A54">
        <v>115</v>
      </c>
      <c r="B54">
        <v>13</v>
      </c>
      <c r="C54">
        <v>3</v>
      </c>
    </row>
    <row r="55" spans="1:3">
      <c r="A55">
        <v>116</v>
      </c>
      <c r="B55">
        <v>9</v>
      </c>
      <c r="C55">
        <v>3</v>
      </c>
    </row>
    <row r="56" spans="1:3">
      <c r="A56">
        <v>117</v>
      </c>
      <c r="B56">
        <v>5</v>
      </c>
      <c r="C56">
        <v>6</v>
      </c>
    </row>
    <row r="57" spans="1:3">
      <c r="A57">
        <v>117</v>
      </c>
      <c r="B57">
        <v>6</v>
      </c>
      <c r="C57">
        <v>10</v>
      </c>
    </row>
    <row r="58" spans="1:3">
      <c r="A58">
        <v>117</v>
      </c>
      <c r="B58">
        <v>7</v>
      </c>
      <c r="C58">
        <v>4</v>
      </c>
    </row>
    <row r="59" spans="1:3">
      <c r="A59">
        <v>117</v>
      </c>
      <c r="B59">
        <v>8</v>
      </c>
      <c r="C59">
        <v>3</v>
      </c>
    </row>
    <row r="60" spans="1:3">
      <c r="A60">
        <v>117</v>
      </c>
      <c r="B60">
        <v>9</v>
      </c>
      <c r="C60">
        <v>10</v>
      </c>
    </row>
    <row r="61" spans="1:3">
      <c r="A61">
        <v>117</v>
      </c>
      <c r="B61">
        <v>10</v>
      </c>
      <c r="C61">
        <v>3</v>
      </c>
    </row>
    <row r="62" spans="1:3">
      <c r="A62">
        <v>117</v>
      </c>
      <c r="B62">
        <v>11</v>
      </c>
      <c r="C62">
        <v>3</v>
      </c>
    </row>
    <row r="63" spans="1:3">
      <c r="A63">
        <v>117</v>
      </c>
      <c r="B63">
        <v>12</v>
      </c>
      <c r="C63">
        <v>8</v>
      </c>
    </row>
    <row r="64" spans="1:3">
      <c r="A64">
        <v>118</v>
      </c>
      <c r="B64">
        <v>5</v>
      </c>
      <c r="C64">
        <v>10</v>
      </c>
    </row>
    <row r="65" spans="1:9">
      <c r="A65">
        <v>118</v>
      </c>
      <c r="B65">
        <v>7</v>
      </c>
      <c r="C65">
        <v>3</v>
      </c>
    </row>
    <row r="66" spans="1:9">
      <c r="A66">
        <v>118</v>
      </c>
      <c r="B66">
        <v>10</v>
      </c>
      <c r="C66">
        <v>2</v>
      </c>
    </row>
    <row r="67" spans="1:9">
      <c r="A67">
        <v>119</v>
      </c>
      <c r="B67">
        <v>6</v>
      </c>
      <c r="C67">
        <v>9</v>
      </c>
    </row>
    <row r="68" spans="1:9">
      <c r="A68">
        <v>119</v>
      </c>
      <c r="B68">
        <v>7</v>
      </c>
      <c r="C68">
        <v>8</v>
      </c>
      <c r="I68" s="9"/>
    </row>
    <row r="69" spans="1:9">
      <c r="A69">
        <v>119</v>
      </c>
      <c r="B69">
        <v>8</v>
      </c>
      <c r="C69">
        <v>9</v>
      </c>
      <c r="I69" s="9"/>
    </row>
    <row r="70" spans="1:9">
      <c r="A70">
        <v>119</v>
      </c>
      <c r="B70">
        <v>9</v>
      </c>
      <c r="C70">
        <v>2</v>
      </c>
      <c r="I70" s="9"/>
    </row>
    <row r="71" spans="1:9">
      <c r="A71">
        <v>119</v>
      </c>
      <c r="B71">
        <v>10</v>
      </c>
      <c r="C71">
        <v>8</v>
      </c>
      <c r="I71" s="9"/>
    </row>
    <row r="72" spans="1:9">
      <c r="A72">
        <v>120</v>
      </c>
      <c r="B72">
        <v>7</v>
      </c>
      <c r="C72">
        <v>3</v>
      </c>
    </row>
    <row r="73" spans="1:9">
      <c r="A73">
        <v>120</v>
      </c>
      <c r="B73">
        <v>10</v>
      </c>
      <c r="C73">
        <v>4</v>
      </c>
    </row>
    <row r="74" spans="1:9">
      <c r="A74">
        <v>120</v>
      </c>
      <c r="B74">
        <v>11</v>
      </c>
      <c r="C74">
        <v>6</v>
      </c>
    </row>
    <row r="75" spans="1:9">
      <c r="A75">
        <v>120</v>
      </c>
      <c r="B75">
        <v>12</v>
      </c>
      <c r="C75">
        <v>8</v>
      </c>
    </row>
  </sheetData>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7F0EE9-CE0C-4E54-A43F-1B10ED988838}">
  <sheetPr codeName="Sheet4"/>
  <dimension ref="A1:AED56"/>
  <sheetViews>
    <sheetView zoomScale="79" zoomScaleNormal="145" workbookViewId="0">
      <selection activeCell="A12" sqref="A12"/>
    </sheetView>
  </sheetViews>
  <sheetFormatPr defaultColWidth="8.77734375" defaultRowHeight="14.4"/>
  <cols>
    <col min="1" max="1" width="9" bestFit="1" customWidth="1"/>
    <col min="2" max="2" width="11.77734375" bestFit="1" customWidth="1"/>
    <col min="3" max="3" width="8.21875" bestFit="1" customWidth="1"/>
    <col min="4" max="4" width="4.77734375" bestFit="1" customWidth="1"/>
    <col min="5" max="5" width="8.44140625" bestFit="1" customWidth="1"/>
    <col min="6" max="7" width="16.21875" bestFit="1" customWidth="1"/>
    <col min="8" max="8" width="15.77734375" bestFit="1" customWidth="1"/>
    <col min="9" max="9" width="54.77734375" bestFit="1" customWidth="1"/>
    <col min="10" max="10" width="12.77734375" bestFit="1" customWidth="1"/>
  </cols>
  <sheetData>
    <row r="1" spans="1:10">
      <c r="A1" t="s">
        <v>179</v>
      </c>
      <c r="B1" t="s">
        <v>180</v>
      </c>
      <c r="C1" t="s">
        <v>181</v>
      </c>
      <c r="D1" t="s">
        <v>182</v>
      </c>
      <c r="E1" t="s">
        <v>183</v>
      </c>
      <c r="F1" t="s">
        <v>184</v>
      </c>
      <c r="G1" t="s">
        <v>185</v>
      </c>
      <c r="H1" t="s">
        <v>186</v>
      </c>
      <c r="I1" t="s">
        <v>187</v>
      </c>
      <c r="J1" t="s">
        <v>188</v>
      </c>
    </row>
    <row r="2" spans="1:10">
      <c r="A2" t="s">
        <v>189</v>
      </c>
      <c r="B2">
        <v>11203</v>
      </c>
      <c r="C2">
        <v>114</v>
      </c>
      <c r="D2">
        <v>8</v>
      </c>
      <c r="E2">
        <v>1</v>
      </c>
      <c r="F2" s="2">
        <v>44553.479166666664</v>
      </c>
      <c r="G2" s="2">
        <v>44559.375</v>
      </c>
      <c r="H2" t="s">
        <v>190</v>
      </c>
      <c r="I2" t="s">
        <v>191</v>
      </c>
      <c r="J2" s="4">
        <f>175 * 5 + 15</f>
        <v>890</v>
      </c>
    </row>
    <row r="3" spans="1:10">
      <c r="A3" t="s">
        <v>189</v>
      </c>
      <c r="B3">
        <v>11203</v>
      </c>
      <c r="C3">
        <v>113</v>
      </c>
      <c r="D3">
        <v>8</v>
      </c>
      <c r="E3">
        <v>1</v>
      </c>
      <c r="F3" s="2">
        <v>44553.479166666664</v>
      </c>
      <c r="G3" s="2">
        <v>44561.4375</v>
      </c>
      <c r="H3" t="s">
        <v>190</v>
      </c>
      <c r="I3" t="s">
        <v>191</v>
      </c>
      <c r="J3" s="4">
        <f>200 * 7 + 15</f>
        <v>1415</v>
      </c>
    </row>
    <row r="4" spans="1:10">
      <c r="A4" t="s">
        <v>192</v>
      </c>
      <c r="B4">
        <v>11218</v>
      </c>
      <c r="C4">
        <v>106</v>
      </c>
      <c r="D4">
        <v>11</v>
      </c>
      <c r="E4">
        <v>2</v>
      </c>
      <c r="F4" s="2">
        <v>44484.416666666664</v>
      </c>
      <c r="G4" s="2">
        <v>44494.395833333336</v>
      </c>
      <c r="H4" t="s">
        <v>190</v>
      </c>
      <c r="I4" t="s">
        <v>193</v>
      </c>
      <c r="J4" s="4">
        <f>100 * 9 + 15</f>
        <v>915</v>
      </c>
    </row>
    <row r="5" spans="1:10">
      <c r="A5" t="s">
        <v>194</v>
      </c>
      <c r="B5">
        <v>11207</v>
      </c>
      <c r="C5">
        <v>116</v>
      </c>
      <c r="D5">
        <v>9</v>
      </c>
      <c r="E5">
        <v>1</v>
      </c>
      <c r="F5" s="2">
        <v>44605.583333333336</v>
      </c>
      <c r="G5" s="2">
        <v>44617.541666666664</v>
      </c>
      <c r="H5" t="s">
        <v>195</v>
      </c>
      <c r="I5" t="s">
        <v>196</v>
      </c>
      <c r="J5" s="4">
        <f>250 * 13 + 15</f>
        <v>3265</v>
      </c>
    </row>
    <row r="6" spans="1:10">
      <c r="A6" t="s">
        <v>194</v>
      </c>
      <c r="B6">
        <v>11207</v>
      </c>
      <c r="C6">
        <v>108</v>
      </c>
      <c r="D6">
        <v>13</v>
      </c>
      <c r="E6">
        <v>3</v>
      </c>
      <c r="F6" s="2">
        <v>44605.583333333336</v>
      </c>
      <c r="G6" s="2">
        <v>44617.541666666664</v>
      </c>
      <c r="H6" t="s">
        <v>190</v>
      </c>
      <c r="I6" t="s">
        <v>197</v>
      </c>
      <c r="J6" s="4">
        <f>199 * 13 + 15</f>
        <v>2602</v>
      </c>
    </row>
    <row r="7" spans="1:10">
      <c r="A7" t="s">
        <v>194</v>
      </c>
      <c r="B7">
        <v>11207</v>
      </c>
      <c r="C7">
        <v>113</v>
      </c>
      <c r="D7">
        <v>10</v>
      </c>
      <c r="E7">
        <v>1</v>
      </c>
      <c r="F7" s="2">
        <v>44605.583333333336</v>
      </c>
      <c r="G7" s="2">
        <v>44617.541666666664</v>
      </c>
      <c r="H7" t="s">
        <v>190</v>
      </c>
      <c r="I7" t="s">
        <v>198</v>
      </c>
      <c r="J7" s="4">
        <f>200 * 13 + 15</f>
        <v>2615</v>
      </c>
    </row>
    <row r="8" spans="1:10">
      <c r="A8" t="s">
        <v>199</v>
      </c>
      <c r="B8">
        <v>11213</v>
      </c>
      <c r="C8">
        <v>105</v>
      </c>
      <c r="D8">
        <v>11</v>
      </c>
      <c r="E8">
        <v>1</v>
      </c>
      <c r="F8" s="2">
        <v>44638.375</v>
      </c>
      <c r="G8" s="3"/>
      <c r="H8" s="3"/>
      <c r="I8" t="s">
        <v>200</v>
      </c>
      <c r="J8" s="5"/>
    </row>
    <row r="9" spans="1:10">
      <c r="A9" t="s">
        <v>199</v>
      </c>
      <c r="B9">
        <v>11213</v>
      </c>
      <c r="C9">
        <v>105</v>
      </c>
      <c r="D9">
        <v>12</v>
      </c>
      <c r="E9">
        <v>1</v>
      </c>
      <c r="F9" s="2">
        <v>44638.375</v>
      </c>
      <c r="G9" s="3"/>
      <c r="H9" s="3"/>
      <c r="I9" t="s">
        <v>201</v>
      </c>
      <c r="J9" s="5"/>
    </row>
    <row r="10" spans="1:10">
      <c r="A10" t="s">
        <v>202</v>
      </c>
      <c r="B10">
        <v>11209</v>
      </c>
      <c r="C10">
        <v>105</v>
      </c>
      <c r="D10">
        <v>13</v>
      </c>
      <c r="E10">
        <v>1</v>
      </c>
      <c r="F10" s="2">
        <v>44652.666666666664</v>
      </c>
      <c r="G10" s="3"/>
      <c r="H10" s="3"/>
      <c r="I10" t="s">
        <v>203</v>
      </c>
      <c r="J10" s="5"/>
    </row>
    <row r="11" spans="1:10">
      <c r="A11" t="s">
        <v>204</v>
      </c>
      <c r="B11">
        <v>11220</v>
      </c>
      <c r="C11">
        <v>119</v>
      </c>
      <c r="D11">
        <v>6</v>
      </c>
      <c r="E11">
        <v>1</v>
      </c>
      <c r="F11" s="2">
        <v>44701.583333333336</v>
      </c>
      <c r="G11" s="3"/>
      <c r="H11" s="3"/>
      <c r="I11" t="s">
        <v>205</v>
      </c>
      <c r="J11" s="5"/>
    </row>
    <row r="12" spans="1:10">
      <c r="A12" t="s">
        <v>207</v>
      </c>
      <c r="B12">
        <v>11201</v>
      </c>
      <c r="C12">
        <v>101</v>
      </c>
      <c r="D12">
        <v>5</v>
      </c>
      <c r="E12">
        <v>1</v>
      </c>
      <c r="F12" t="s">
        <v>208</v>
      </c>
      <c r="G12" s="14"/>
      <c r="H12" s="14"/>
      <c r="J12" s="14"/>
    </row>
    <row r="14" spans="1:10">
      <c r="F14" s="2"/>
    </row>
    <row r="15" spans="1:10">
      <c r="F15" s="2"/>
    </row>
    <row r="22" spans="1:810" s="13" customFormat="1" ht="15" customHeight="1">
      <c r="A22" s="11"/>
      <c r="B22" s="12"/>
      <c r="C22" s="12"/>
      <c r="D22" s="12"/>
      <c r="E22" s="12"/>
      <c r="F22" s="12"/>
      <c r="G22" s="12"/>
      <c r="H22" s="12"/>
      <c r="I22" s="12"/>
      <c r="J22" s="12"/>
      <c r="K22" s="12"/>
      <c r="L22" s="12"/>
      <c r="M22" s="12"/>
      <c r="N22" s="12"/>
      <c r="O22" s="12"/>
      <c r="P22" s="12"/>
      <c r="Q22" s="12"/>
      <c r="R22" s="12"/>
      <c r="S22" s="12"/>
      <c r="T22" s="12"/>
      <c r="U22" s="12"/>
      <c r="V22" s="12"/>
      <c r="W22" s="12"/>
      <c r="X22" s="12"/>
      <c r="Y22" s="12"/>
      <c r="Z22" s="12"/>
      <c r="AA22" s="12"/>
      <c r="AB22" s="12"/>
      <c r="AC22" s="12"/>
      <c r="AD22" s="12"/>
      <c r="AE22" s="12"/>
      <c r="AF22" s="12"/>
      <c r="AG22" s="12"/>
      <c r="AH22" s="12"/>
      <c r="AI22" s="12"/>
      <c r="AJ22" s="12"/>
      <c r="AK22" s="12"/>
      <c r="AL22" s="12"/>
      <c r="AM22" s="12"/>
      <c r="AN22" s="12"/>
      <c r="AO22" s="12"/>
      <c r="AP22" s="12"/>
      <c r="AQ22" s="12"/>
      <c r="AR22" s="12"/>
      <c r="AS22" s="12"/>
      <c r="AT22" s="12"/>
      <c r="AU22" s="12"/>
      <c r="AV22" s="12"/>
      <c r="AW22" s="12"/>
      <c r="AX22" s="12"/>
      <c r="AY22" s="12"/>
      <c r="AZ22" s="12"/>
      <c r="BA22" s="12"/>
      <c r="BB22" s="12"/>
      <c r="BC22" s="12"/>
      <c r="BD22" s="12"/>
      <c r="BE22" s="12"/>
      <c r="BF22" s="12"/>
      <c r="BG22" s="12"/>
      <c r="BH22" s="12"/>
      <c r="BI22" s="12"/>
      <c r="BJ22" s="12"/>
      <c r="BK22" s="12"/>
      <c r="BL22" s="12"/>
      <c r="BM22" s="12"/>
      <c r="BN22" s="12"/>
      <c r="BO22" s="12"/>
      <c r="BP22" s="12"/>
      <c r="BQ22" s="12"/>
      <c r="BR22" s="12"/>
      <c r="BS22" s="12"/>
      <c r="BT22" s="12"/>
      <c r="BU22" s="12"/>
      <c r="BV22" s="12"/>
      <c r="BW22" s="12"/>
      <c r="BX22" s="12"/>
      <c r="BY22" s="12"/>
      <c r="BZ22" s="12"/>
      <c r="CA22" s="12"/>
      <c r="CB22" s="12"/>
      <c r="CC22" s="12"/>
      <c r="CD22" s="12"/>
      <c r="CE22" s="12"/>
      <c r="CF22" s="12"/>
      <c r="CG22" s="12"/>
      <c r="CH22" s="12"/>
      <c r="CI22" s="12"/>
      <c r="CJ22" s="12"/>
      <c r="CK22" s="12"/>
      <c r="CL22" s="12"/>
      <c r="CM22" s="12"/>
      <c r="CN22" s="12"/>
      <c r="CO22" s="12"/>
      <c r="CP22" s="12"/>
      <c r="CQ22" s="12"/>
      <c r="CR22" s="12"/>
      <c r="CS22" s="12"/>
      <c r="CT22" s="12"/>
      <c r="CU22" s="12"/>
      <c r="CV22" s="12"/>
      <c r="CW22" s="12"/>
      <c r="CX22" s="12"/>
      <c r="CY22" s="12"/>
      <c r="CZ22" s="12"/>
      <c r="DA22" s="12"/>
      <c r="DB22" s="12"/>
      <c r="DC22" s="12"/>
      <c r="DD22" s="12"/>
      <c r="DE22" s="12"/>
      <c r="DF22" s="12"/>
      <c r="DG22" s="12"/>
      <c r="DH22" s="12"/>
      <c r="DI22" s="12"/>
      <c r="DJ22" s="12"/>
      <c r="DK22" s="12"/>
      <c r="DL22" s="12"/>
      <c r="DM22" s="12"/>
      <c r="DN22" s="12"/>
      <c r="DO22" s="12"/>
      <c r="DP22" s="12"/>
      <c r="DQ22" s="12"/>
      <c r="DR22" s="12"/>
      <c r="DS22" s="12"/>
      <c r="DT22" s="12"/>
      <c r="DU22" s="12"/>
      <c r="DV22" s="12"/>
      <c r="DW22" s="12"/>
      <c r="DX22" s="12"/>
      <c r="DY22" s="12"/>
      <c r="DZ22" s="12"/>
      <c r="EA22" s="12"/>
      <c r="EB22" s="12"/>
      <c r="EC22" s="12"/>
      <c r="ED22" s="12"/>
      <c r="EE22" s="12"/>
      <c r="EF22" s="12"/>
      <c r="EG22" s="12"/>
      <c r="EH22" s="12"/>
      <c r="EI22" s="12"/>
      <c r="EJ22" s="12"/>
      <c r="EK22" s="12"/>
      <c r="EL22" s="12"/>
      <c r="EM22" s="12"/>
      <c r="EN22" s="12"/>
      <c r="EO22" s="12"/>
      <c r="EP22" s="12"/>
      <c r="EQ22" s="12"/>
      <c r="ER22" s="12"/>
      <c r="ES22" s="12"/>
      <c r="ET22" s="12"/>
      <c r="EU22" s="12"/>
      <c r="EV22" s="12"/>
      <c r="EW22" s="12"/>
      <c r="EX22" s="12"/>
      <c r="EY22" s="12"/>
      <c r="EZ22" s="12"/>
      <c r="FA22" s="12"/>
      <c r="FB22" s="12"/>
      <c r="FC22" s="12"/>
      <c r="FD22" s="12"/>
      <c r="FE22" s="12"/>
      <c r="FF22" s="12"/>
      <c r="FG22" s="12"/>
      <c r="FH22" s="12"/>
      <c r="FI22" s="12"/>
      <c r="FJ22" s="12"/>
      <c r="FK22" s="12"/>
      <c r="FL22" s="12"/>
      <c r="FM22" s="12"/>
      <c r="FN22" s="12"/>
      <c r="FO22" s="12"/>
      <c r="FP22" s="12"/>
      <c r="FQ22" s="12"/>
      <c r="FR22" s="12"/>
      <c r="FS22" s="12"/>
      <c r="FT22" s="12"/>
      <c r="FU22" s="12"/>
      <c r="FV22" s="12"/>
      <c r="FW22" s="12"/>
      <c r="FX22" s="12"/>
      <c r="FY22" s="12"/>
      <c r="FZ22" s="12"/>
      <c r="GA22" s="12"/>
      <c r="GB22" s="12"/>
      <c r="GC22" s="12"/>
      <c r="GD22" s="12"/>
      <c r="GE22" s="12"/>
      <c r="GF22" s="12"/>
      <c r="GG22" s="12"/>
      <c r="GH22" s="12"/>
      <c r="GI22" s="12"/>
      <c r="GJ22" s="12"/>
      <c r="GK22" s="12"/>
      <c r="GL22" s="12"/>
      <c r="GM22" s="12"/>
      <c r="GN22" s="12"/>
      <c r="GO22" s="12"/>
      <c r="GP22" s="12"/>
      <c r="GQ22" s="12"/>
      <c r="GR22" s="12"/>
      <c r="GS22" s="12"/>
      <c r="GT22" s="12"/>
      <c r="GU22" s="12"/>
      <c r="GV22" s="12"/>
      <c r="GW22" s="12"/>
      <c r="GX22" s="12"/>
      <c r="GY22" s="12"/>
      <c r="GZ22" s="12"/>
      <c r="HA22" s="12"/>
      <c r="HB22" s="12"/>
      <c r="HC22" s="12"/>
      <c r="HD22" s="12"/>
      <c r="HE22" s="12"/>
      <c r="HF22" s="12"/>
      <c r="HG22" s="12"/>
      <c r="HH22" s="12"/>
      <c r="HI22" s="12"/>
      <c r="HJ22" s="12"/>
      <c r="HK22" s="12"/>
      <c r="HL22" s="12"/>
      <c r="HM22" s="12"/>
      <c r="HN22" s="12"/>
      <c r="HO22" s="12"/>
      <c r="HP22" s="12"/>
      <c r="HQ22" s="12"/>
      <c r="HR22" s="12"/>
      <c r="HS22" s="12"/>
      <c r="HT22" s="12"/>
      <c r="HU22" s="12"/>
      <c r="HV22" s="12"/>
      <c r="HW22" s="12"/>
      <c r="HX22" s="12"/>
      <c r="HY22" s="12"/>
      <c r="HZ22" s="12"/>
      <c r="IA22" s="12"/>
      <c r="IB22" s="12"/>
      <c r="IC22" s="12"/>
      <c r="ID22" s="12"/>
      <c r="IE22" s="12"/>
      <c r="IF22" s="12"/>
      <c r="IG22" s="12"/>
      <c r="IH22" s="12"/>
      <c r="II22" s="12"/>
      <c r="IJ22" s="12"/>
      <c r="IK22" s="12"/>
      <c r="IL22" s="12"/>
      <c r="IM22" s="12"/>
      <c r="IN22" s="12"/>
      <c r="IO22" s="12"/>
      <c r="IP22" s="12"/>
      <c r="IQ22" s="12"/>
      <c r="IR22" s="12"/>
      <c r="IS22" s="12"/>
      <c r="IT22" s="12"/>
      <c r="IU22" s="12"/>
      <c r="IV22" s="12"/>
      <c r="IW22" s="12"/>
      <c r="IX22" s="12"/>
      <c r="IY22" s="12"/>
      <c r="IZ22" s="12"/>
      <c r="JA22" s="12"/>
      <c r="JB22" s="12"/>
      <c r="JC22" s="12"/>
      <c r="JD22" s="12"/>
      <c r="JE22" s="12"/>
      <c r="JF22" s="12"/>
      <c r="JG22" s="12"/>
      <c r="JH22" s="12"/>
      <c r="JI22" s="12"/>
      <c r="JJ22" s="12"/>
      <c r="JK22" s="12"/>
      <c r="JL22" s="12"/>
      <c r="JM22" s="12"/>
      <c r="JN22" s="12"/>
      <c r="JO22" s="12"/>
      <c r="JP22" s="12"/>
      <c r="JQ22" s="12"/>
      <c r="JR22" s="12"/>
      <c r="JS22" s="12"/>
      <c r="JT22" s="12"/>
      <c r="JU22" s="12"/>
      <c r="JV22" s="12"/>
      <c r="JW22" s="12"/>
      <c r="JX22" s="12"/>
      <c r="JY22" s="12"/>
      <c r="JZ22" s="12"/>
      <c r="KA22" s="12"/>
      <c r="KB22" s="12"/>
      <c r="KC22" s="12"/>
      <c r="KD22" s="12"/>
      <c r="KE22" s="12"/>
      <c r="KF22" s="12"/>
      <c r="KG22" s="12"/>
      <c r="KH22" s="12"/>
      <c r="KI22" s="12"/>
      <c r="KJ22" s="12"/>
      <c r="KK22" s="12"/>
      <c r="KL22" s="12"/>
      <c r="KM22" s="12"/>
      <c r="KN22" s="12"/>
      <c r="KO22" s="12"/>
      <c r="KP22" s="12"/>
      <c r="KQ22" s="12"/>
      <c r="KR22" s="12"/>
      <c r="KS22" s="12"/>
      <c r="KT22" s="12"/>
      <c r="KU22" s="12"/>
      <c r="KV22" s="12"/>
      <c r="KW22" s="12"/>
      <c r="KX22" s="12"/>
      <c r="KY22" s="12"/>
      <c r="KZ22" s="12"/>
      <c r="LA22" s="12"/>
      <c r="LB22" s="12"/>
      <c r="LC22" s="12"/>
      <c r="LD22" s="12"/>
      <c r="LE22" s="12"/>
      <c r="LF22" s="12"/>
      <c r="LG22" s="12"/>
      <c r="LH22" s="12"/>
      <c r="LI22" s="12"/>
      <c r="LJ22" s="12"/>
      <c r="LK22" s="12"/>
      <c r="LL22" s="12"/>
      <c r="LM22" s="12"/>
      <c r="LN22" s="12"/>
      <c r="LO22" s="12"/>
      <c r="LP22" s="12"/>
      <c r="LQ22" s="12"/>
      <c r="LR22" s="12"/>
      <c r="LS22" s="12"/>
      <c r="LT22" s="12"/>
      <c r="LU22" s="12"/>
      <c r="LV22" s="12"/>
      <c r="LW22" s="12"/>
      <c r="LX22" s="12"/>
      <c r="LY22" s="12"/>
      <c r="LZ22" s="12"/>
      <c r="MA22" s="12"/>
      <c r="MB22" s="12"/>
      <c r="MC22" s="12"/>
      <c r="MD22" s="12"/>
      <c r="ME22" s="12"/>
      <c r="MF22" s="12"/>
      <c r="MG22" s="12"/>
      <c r="MH22" s="12"/>
      <c r="MI22" s="12"/>
      <c r="MJ22" s="12"/>
      <c r="MK22" s="12"/>
      <c r="ML22" s="12"/>
      <c r="MM22" s="12"/>
      <c r="MN22" s="12"/>
      <c r="MO22" s="12"/>
      <c r="MP22" s="12"/>
      <c r="MQ22" s="12"/>
      <c r="MR22" s="12"/>
      <c r="MS22" s="12"/>
      <c r="MT22" s="12"/>
      <c r="MU22" s="12"/>
      <c r="MV22" s="12"/>
      <c r="MW22" s="12"/>
      <c r="MX22" s="12"/>
      <c r="MY22" s="12"/>
      <c r="MZ22" s="12"/>
      <c r="NA22" s="12"/>
      <c r="NB22" s="12"/>
      <c r="NC22" s="12"/>
      <c r="ND22" s="12"/>
      <c r="NE22" s="12"/>
      <c r="NF22" s="12"/>
      <c r="NG22" s="12"/>
      <c r="NH22" s="12"/>
      <c r="NI22" s="12"/>
      <c r="NJ22" s="12"/>
      <c r="NK22" s="12"/>
      <c r="NL22" s="12"/>
      <c r="NM22" s="12"/>
      <c r="NN22" s="12"/>
      <c r="NO22" s="12"/>
      <c r="NP22" s="12"/>
      <c r="NQ22" s="12"/>
      <c r="NR22" s="12"/>
      <c r="NS22" s="12"/>
      <c r="NT22" s="12"/>
      <c r="NU22" s="12"/>
      <c r="NV22" s="12"/>
      <c r="NW22" s="12"/>
      <c r="NX22" s="12"/>
      <c r="NY22" s="12"/>
      <c r="NZ22" s="12"/>
      <c r="OA22" s="12"/>
      <c r="OB22" s="12"/>
      <c r="OC22" s="12"/>
      <c r="OD22" s="12"/>
      <c r="OE22" s="12"/>
      <c r="OF22" s="12"/>
      <c r="OG22" s="12"/>
      <c r="OH22" s="12"/>
      <c r="OI22" s="12"/>
      <c r="OJ22" s="12"/>
      <c r="OK22" s="12"/>
      <c r="OL22" s="12"/>
      <c r="OM22" s="12"/>
      <c r="ON22" s="12"/>
      <c r="OO22" s="12"/>
      <c r="OP22" s="12"/>
      <c r="OQ22" s="12"/>
      <c r="OR22" s="12"/>
      <c r="OS22" s="12"/>
      <c r="OT22" s="12"/>
      <c r="OU22" s="12"/>
      <c r="OV22" s="12"/>
      <c r="OW22" s="12"/>
      <c r="OX22" s="12"/>
      <c r="OY22" s="12"/>
      <c r="OZ22" s="12"/>
      <c r="PA22" s="12"/>
      <c r="PB22" s="12"/>
      <c r="PC22" s="12"/>
      <c r="PD22" s="12"/>
      <c r="PE22" s="12"/>
      <c r="PF22" s="12"/>
      <c r="PG22" s="12"/>
      <c r="PH22" s="12"/>
      <c r="PI22" s="12"/>
      <c r="PJ22" s="12"/>
      <c r="PK22" s="12"/>
      <c r="PL22" s="12"/>
      <c r="PM22" s="12"/>
      <c r="PN22" s="12"/>
      <c r="PO22" s="12"/>
      <c r="PP22" s="12"/>
      <c r="PQ22" s="12"/>
      <c r="PR22" s="12"/>
      <c r="PS22" s="12"/>
      <c r="PT22" s="12"/>
      <c r="PU22" s="12"/>
      <c r="PV22" s="12"/>
      <c r="PW22" s="12"/>
      <c r="PX22" s="12"/>
      <c r="PY22" s="12"/>
      <c r="PZ22" s="12"/>
      <c r="QA22" s="12"/>
      <c r="QB22" s="12"/>
      <c r="QC22" s="12"/>
      <c r="QD22" s="12"/>
      <c r="QE22" s="12"/>
      <c r="QF22" s="12"/>
      <c r="QG22" s="12"/>
      <c r="QH22" s="12"/>
      <c r="QI22" s="12"/>
      <c r="QJ22" s="12"/>
      <c r="QK22" s="12"/>
      <c r="QL22" s="12"/>
      <c r="QM22" s="12"/>
      <c r="QN22" s="12"/>
      <c r="QO22" s="12"/>
      <c r="QP22" s="12"/>
      <c r="QQ22" s="12"/>
      <c r="QR22" s="12"/>
      <c r="QS22" s="12"/>
      <c r="QT22" s="12"/>
      <c r="QU22" s="12"/>
      <c r="QV22" s="12"/>
      <c r="QW22" s="12"/>
      <c r="QX22" s="12"/>
      <c r="QY22" s="12"/>
      <c r="QZ22" s="12"/>
      <c r="RA22" s="12"/>
      <c r="RB22" s="12"/>
      <c r="RC22" s="12"/>
      <c r="RD22" s="12"/>
      <c r="RE22" s="12"/>
      <c r="RF22" s="12"/>
      <c r="RG22" s="12"/>
      <c r="RH22" s="12"/>
      <c r="RI22" s="12"/>
      <c r="RJ22" s="12"/>
      <c r="RK22" s="12"/>
      <c r="RL22" s="12"/>
      <c r="RM22" s="12"/>
      <c r="RN22" s="12"/>
      <c r="RO22" s="12"/>
      <c r="RP22" s="12"/>
      <c r="RQ22" s="12"/>
      <c r="RR22" s="12"/>
      <c r="RS22" s="12"/>
      <c r="RT22" s="12"/>
      <c r="RU22" s="12"/>
      <c r="RV22" s="12"/>
      <c r="RW22" s="12"/>
      <c r="RX22" s="12"/>
      <c r="RY22" s="12"/>
      <c r="RZ22" s="12"/>
      <c r="SA22" s="12"/>
      <c r="SB22" s="12"/>
      <c r="SC22" s="12"/>
      <c r="SD22" s="12"/>
      <c r="SE22" s="12"/>
      <c r="SF22" s="12"/>
      <c r="SG22" s="12"/>
      <c r="SH22" s="12"/>
      <c r="SI22" s="12"/>
      <c r="SJ22" s="12"/>
      <c r="SK22" s="12"/>
      <c r="SL22" s="12"/>
      <c r="SM22" s="12"/>
      <c r="SN22" s="12"/>
      <c r="SO22" s="12"/>
      <c r="SP22" s="12"/>
      <c r="SQ22" s="12"/>
      <c r="SR22" s="12"/>
      <c r="SS22" s="12"/>
      <c r="ST22" s="12"/>
      <c r="SU22" s="12"/>
      <c r="SV22" s="12"/>
      <c r="SW22" s="12"/>
      <c r="SX22" s="12"/>
      <c r="SY22" s="12"/>
      <c r="SZ22" s="12"/>
      <c r="TA22" s="12"/>
      <c r="TB22" s="12"/>
      <c r="TC22" s="12"/>
      <c r="TD22" s="12"/>
      <c r="TE22" s="12"/>
      <c r="TF22" s="12"/>
      <c r="TG22" s="12"/>
      <c r="TH22" s="12"/>
      <c r="TI22" s="12"/>
      <c r="TJ22" s="12"/>
      <c r="TK22" s="12"/>
      <c r="TL22" s="12"/>
      <c r="TM22" s="12"/>
      <c r="TN22" s="12"/>
      <c r="TO22" s="12"/>
      <c r="TP22" s="12"/>
      <c r="TQ22" s="12"/>
      <c r="TR22" s="12"/>
      <c r="TS22" s="12"/>
      <c r="TT22" s="12"/>
      <c r="TU22" s="12"/>
      <c r="TV22" s="12"/>
      <c r="TW22" s="12"/>
      <c r="TX22" s="12"/>
      <c r="TY22" s="12"/>
      <c r="TZ22" s="12"/>
      <c r="UA22" s="12"/>
      <c r="UB22" s="12"/>
      <c r="UC22" s="12"/>
      <c r="UD22" s="12"/>
      <c r="UE22" s="12"/>
      <c r="UF22" s="12"/>
      <c r="UG22" s="12"/>
      <c r="UH22" s="12"/>
      <c r="UI22" s="12"/>
      <c r="UJ22" s="12"/>
      <c r="UK22" s="12"/>
      <c r="UL22" s="12"/>
      <c r="UM22" s="12"/>
      <c r="UN22" s="12"/>
      <c r="UO22" s="12"/>
      <c r="UP22" s="12"/>
      <c r="UQ22" s="12"/>
      <c r="UR22" s="12"/>
      <c r="US22" s="12"/>
      <c r="UT22" s="12"/>
      <c r="UU22" s="12"/>
      <c r="UV22" s="12"/>
      <c r="UW22" s="12"/>
      <c r="UX22" s="12"/>
      <c r="UY22" s="12"/>
      <c r="UZ22" s="12"/>
      <c r="VA22" s="12"/>
      <c r="VB22" s="12"/>
      <c r="VC22" s="12"/>
      <c r="VD22" s="12"/>
      <c r="VE22" s="12"/>
      <c r="VF22" s="12"/>
      <c r="VG22" s="12"/>
      <c r="VH22" s="12"/>
      <c r="VI22" s="12"/>
      <c r="VJ22" s="12"/>
      <c r="VK22" s="12"/>
      <c r="VL22" s="12"/>
      <c r="VM22" s="12"/>
      <c r="VN22" s="12"/>
      <c r="VO22" s="12"/>
      <c r="VP22" s="12"/>
      <c r="VQ22" s="12"/>
      <c r="VR22" s="12"/>
      <c r="VS22" s="12"/>
      <c r="VT22" s="12"/>
      <c r="VU22" s="12"/>
      <c r="VV22" s="12"/>
      <c r="VW22" s="12"/>
      <c r="VX22" s="12"/>
      <c r="VY22" s="12"/>
      <c r="VZ22" s="12"/>
      <c r="WA22" s="12"/>
      <c r="WB22" s="12"/>
      <c r="WC22" s="12"/>
      <c r="WD22" s="12"/>
      <c r="WE22" s="12"/>
      <c r="WF22" s="12"/>
      <c r="WG22" s="12"/>
      <c r="WH22" s="12"/>
      <c r="WI22" s="12"/>
      <c r="WJ22" s="12"/>
      <c r="WK22" s="12"/>
      <c r="WL22" s="12"/>
      <c r="WM22" s="12"/>
      <c r="WN22" s="12"/>
      <c r="WO22" s="12"/>
      <c r="WP22" s="12"/>
      <c r="WQ22" s="12"/>
      <c r="WR22" s="12"/>
      <c r="WS22" s="12"/>
      <c r="WT22" s="12"/>
      <c r="WU22" s="12"/>
      <c r="WV22" s="12"/>
      <c r="WW22" s="12"/>
      <c r="WX22" s="12"/>
      <c r="WY22" s="12"/>
      <c r="WZ22" s="12"/>
      <c r="XA22" s="12"/>
      <c r="XB22" s="12"/>
      <c r="XC22" s="12"/>
      <c r="XD22" s="12"/>
      <c r="XE22" s="12"/>
      <c r="XF22" s="12"/>
      <c r="XG22" s="12"/>
      <c r="XH22" s="12"/>
      <c r="XI22" s="12"/>
      <c r="XJ22" s="12"/>
      <c r="XK22" s="12"/>
      <c r="XL22" s="12"/>
      <c r="XM22" s="12"/>
      <c r="XN22" s="12"/>
      <c r="XO22" s="12"/>
      <c r="XP22" s="12"/>
      <c r="XQ22" s="12"/>
      <c r="XR22" s="12"/>
      <c r="XS22" s="12"/>
      <c r="XT22" s="12"/>
      <c r="XU22" s="12"/>
      <c r="XV22" s="12"/>
      <c r="XW22" s="12"/>
      <c r="XX22" s="12"/>
      <c r="XY22" s="12"/>
      <c r="XZ22" s="12"/>
      <c r="YA22" s="12"/>
      <c r="YB22" s="12"/>
      <c r="YC22" s="12"/>
      <c r="YD22" s="12"/>
      <c r="YE22" s="12"/>
      <c r="YF22" s="12"/>
      <c r="YG22" s="12"/>
      <c r="YH22" s="12"/>
      <c r="YI22" s="12"/>
      <c r="YJ22" s="12"/>
      <c r="YK22" s="12"/>
      <c r="YL22" s="12"/>
      <c r="YM22" s="12"/>
      <c r="YN22" s="12"/>
      <c r="YO22" s="12"/>
      <c r="YP22" s="12"/>
      <c r="YQ22" s="12"/>
      <c r="YR22" s="12"/>
      <c r="YS22" s="12"/>
      <c r="YT22" s="12"/>
      <c r="YU22" s="12"/>
      <c r="YV22" s="12"/>
      <c r="YW22" s="12"/>
      <c r="YX22" s="12"/>
      <c r="YY22" s="12"/>
      <c r="YZ22" s="12"/>
      <c r="ZA22" s="12"/>
      <c r="ZB22" s="12"/>
      <c r="ZC22" s="12"/>
      <c r="ZD22" s="12"/>
      <c r="ZE22" s="12"/>
      <c r="ZF22" s="12"/>
      <c r="ZG22" s="12"/>
      <c r="ZH22" s="12"/>
      <c r="ZI22" s="12"/>
      <c r="ZJ22" s="12"/>
      <c r="ZK22" s="12"/>
      <c r="ZL22" s="12"/>
      <c r="ZM22" s="12"/>
      <c r="ZN22" s="12"/>
      <c r="ZO22" s="12"/>
      <c r="ZP22" s="12"/>
      <c r="ZQ22" s="12"/>
      <c r="ZR22" s="12"/>
      <c r="ZS22" s="12"/>
      <c r="ZT22" s="12"/>
      <c r="ZU22" s="12"/>
      <c r="ZV22" s="12"/>
      <c r="ZW22" s="12"/>
      <c r="ZX22" s="12"/>
      <c r="ZY22" s="12"/>
      <c r="ZZ22" s="12"/>
      <c r="AAA22" s="12"/>
      <c r="AAB22" s="12"/>
      <c r="AAC22" s="12"/>
      <c r="AAD22" s="12"/>
      <c r="AAE22" s="12"/>
      <c r="AAF22" s="12"/>
      <c r="AAG22" s="12"/>
      <c r="AAH22" s="12"/>
      <c r="AAI22" s="12"/>
      <c r="AAJ22" s="12"/>
      <c r="AAK22" s="12"/>
      <c r="AAL22" s="12"/>
      <c r="AAM22" s="12"/>
      <c r="AAN22" s="12"/>
      <c r="AAO22" s="12"/>
      <c r="AAP22" s="12"/>
      <c r="AAQ22" s="12"/>
      <c r="AAR22" s="12"/>
      <c r="AAS22" s="12"/>
      <c r="AAT22" s="12"/>
      <c r="AAU22" s="12"/>
      <c r="AAV22" s="12"/>
      <c r="AAW22" s="12"/>
      <c r="AAX22" s="12"/>
      <c r="AAY22" s="12"/>
      <c r="AAZ22" s="12"/>
      <c r="ABA22" s="12"/>
      <c r="ABB22" s="12"/>
      <c r="ABC22" s="12"/>
      <c r="ABD22" s="12"/>
      <c r="ABE22" s="12"/>
      <c r="ABF22" s="12"/>
      <c r="ABG22" s="12"/>
      <c r="ABH22" s="12"/>
      <c r="ABI22" s="12"/>
      <c r="ABJ22" s="12"/>
      <c r="ABK22" s="12"/>
      <c r="ABL22" s="12"/>
      <c r="ABM22" s="12"/>
      <c r="ABN22" s="12"/>
      <c r="ABO22" s="12"/>
      <c r="ABP22" s="12"/>
      <c r="ABQ22" s="12"/>
      <c r="ABR22" s="12"/>
      <c r="ABS22" s="12"/>
      <c r="ABT22" s="12"/>
      <c r="ABU22" s="12"/>
      <c r="ABV22" s="12"/>
      <c r="ABW22" s="12"/>
      <c r="ABX22" s="12"/>
      <c r="ABY22" s="12"/>
      <c r="ABZ22" s="12"/>
      <c r="ACA22" s="12"/>
      <c r="ACB22" s="12"/>
      <c r="ACC22" s="12"/>
      <c r="ACD22" s="12"/>
      <c r="ACE22" s="12"/>
      <c r="ACF22" s="12"/>
      <c r="ACG22" s="12"/>
      <c r="ACH22" s="12"/>
      <c r="ACI22" s="12"/>
      <c r="ACJ22" s="12"/>
      <c r="ACK22" s="12"/>
      <c r="ACL22" s="12"/>
      <c r="ACM22" s="12"/>
      <c r="ACN22" s="12"/>
      <c r="ACO22" s="12"/>
      <c r="ACP22" s="12"/>
      <c r="ACQ22" s="12"/>
      <c r="ACR22" s="12"/>
      <c r="ACS22" s="12"/>
      <c r="ACT22" s="12"/>
      <c r="ACU22" s="12"/>
      <c r="ACV22" s="12"/>
      <c r="ACW22" s="12"/>
      <c r="ACX22" s="12"/>
      <c r="ACY22" s="12"/>
      <c r="ACZ22" s="12"/>
      <c r="ADA22" s="12"/>
      <c r="ADB22" s="12"/>
      <c r="ADC22" s="12"/>
      <c r="ADD22" s="12"/>
      <c r="ADE22" s="12"/>
      <c r="ADF22" s="12"/>
      <c r="ADG22" s="12"/>
      <c r="ADH22" s="12"/>
      <c r="ADI22" s="12"/>
      <c r="ADJ22" s="12"/>
      <c r="ADK22" s="12"/>
      <c r="ADL22" s="12"/>
      <c r="ADM22" s="12"/>
      <c r="ADN22" s="12"/>
      <c r="ADO22" s="12"/>
      <c r="ADP22" s="12"/>
      <c r="ADQ22" s="12"/>
      <c r="ADR22" s="12"/>
      <c r="ADS22" s="12"/>
      <c r="ADT22" s="12"/>
      <c r="ADU22" s="12"/>
      <c r="ADV22" s="12"/>
      <c r="ADW22" s="12"/>
      <c r="ADX22" s="12"/>
      <c r="ADY22" s="12"/>
      <c r="ADZ22" s="12"/>
      <c r="AEA22" s="12"/>
      <c r="AEB22" s="12"/>
      <c r="AEC22" s="12"/>
      <c r="AED22" s="12"/>
    </row>
    <row r="52" spans="2:7" ht="14.55" customHeight="1">
      <c r="B52" s="19" t="s">
        <v>206</v>
      </c>
      <c r="C52" s="20"/>
      <c r="D52" s="20"/>
      <c r="E52" s="20"/>
      <c r="F52" s="20"/>
      <c r="G52" s="20"/>
    </row>
    <row r="53" spans="2:7" ht="14.55" customHeight="1">
      <c r="B53" s="20"/>
      <c r="C53" s="20"/>
      <c r="D53" s="20"/>
      <c r="E53" s="20"/>
      <c r="F53" s="20"/>
      <c r="G53" s="20"/>
    </row>
    <row r="54" spans="2:7" ht="14.55" customHeight="1">
      <c r="B54" s="20"/>
      <c r="C54" s="20"/>
      <c r="D54" s="20"/>
      <c r="E54" s="20"/>
      <c r="F54" s="20"/>
      <c r="G54" s="20"/>
    </row>
    <row r="55" spans="2:7" ht="14.55" customHeight="1">
      <c r="B55" s="20"/>
      <c r="C55" s="20"/>
      <c r="D55" s="20"/>
      <c r="E55" s="20"/>
      <c r="F55" s="20"/>
      <c r="G55" s="20"/>
    </row>
    <row r="56" spans="2:7" ht="14.55" customHeight="1">
      <c r="B56" s="20"/>
      <c r="C56" s="20"/>
      <c r="D56" s="20"/>
      <c r="E56" s="20"/>
      <c r="F56" s="20"/>
      <c r="G56" s="20"/>
    </row>
  </sheetData>
  <mergeCells count="1">
    <mergeCell ref="B52:G56"/>
  </mergeCells>
  <phoneticPr fontId="1" type="noConversion"/>
  <pageMargins left="0.7" right="0.7" top="0.75" bottom="0.75" header="0.3" footer="0.3"/>
  <pageSetup paperSize="9" orientation="portrait" horizontalDpi="0"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49AD8888C0D7244ABD6093B74F8FB4D" ma:contentTypeVersion="14" ma:contentTypeDescription="Create a new document." ma:contentTypeScope="" ma:versionID="db176b9a5206588c23e5303a5fa293e6">
  <xsd:schema xmlns:xsd="http://www.w3.org/2001/XMLSchema" xmlns:xs="http://www.w3.org/2001/XMLSchema" xmlns:p="http://schemas.microsoft.com/office/2006/metadata/properties" xmlns:ns3="193397e8-0f8f-4f8c-b2ab-8c1f91492a9d" xmlns:ns4="7185ba1f-c917-4bd6-8454-0c7f788f7c87" targetNamespace="http://schemas.microsoft.com/office/2006/metadata/properties" ma:root="true" ma:fieldsID="96abd0d489947c2b8986f56570fb0eaa" ns3:_="" ns4:_="">
    <xsd:import namespace="193397e8-0f8f-4f8c-b2ab-8c1f91492a9d"/>
    <xsd:import namespace="7185ba1f-c917-4bd6-8454-0c7f788f7c87"/>
    <xsd:element name="properties">
      <xsd:complexType>
        <xsd:sequence>
          <xsd:element name="documentManagement">
            <xsd:complexType>
              <xsd:all>
                <xsd:element ref="ns3:MediaServiceMetadata" minOccurs="0"/>
                <xsd:element ref="ns3:MediaServiceFastMetadata" minOccurs="0"/>
                <xsd:element ref="ns3:MediaServiceAutoKeyPoints" minOccurs="0"/>
                <xsd:element ref="ns3:MediaServiceKeyPoints" minOccurs="0"/>
                <xsd:element ref="ns3:MediaServiceDateTaken" minOccurs="0"/>
                <xsd:element ref="ns3:MediaServiceAutoTags" minOccurs="0"/>
                <xsd:element ref="ns3:MediaLengthInSeconds" minOccurs="0"/>
                <xsd:element ref="ns3:MediaServiceOCR" minOccurs="0"/>
                <xsd:element ref="ns3:MediaServiceGenerationTime" minOccurs="0"/>
                <xsd:element ref="ns3:MediaServiceEventHashCode" minOccurs="0"/>
                <xsd:element ref="ns3:MediaServiceLocation"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93397e8-0f8f-4f8c-b2ab-8c1f91492a9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Location" ma:index="18" nillable="true" ma:displayName="Location"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185ba1f-c917-4bd6-8454-0c7f788f7c87" elementFormDefault="qualified">
    <xsd:import namespace="http://schemas.microsoft.com/office/2006/documentManagement/types"/>
    <xsd:import namespace="http://schemas.microsoft.com/office/infopath/2007/PartnerControls"/>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element name="SharingHintHash" ma:index="21"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6BCCD94F-3284-4A23-A2F8-16EABACC844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93397e8-0f8f-4f8c-b2ab-8c1f91492a9d"/>
    <ds:schemaRef ds:uri="7185ba1f-c917-4bd6-8454-0c7f788f7c8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A196E62-FD3C-4589-BD0F-4180BF50CD54}">
  <ds:schemaRefs>
    <ds:schemaRef ds:uri="http://schemas.microsoft.com/sharepoint/v3/contenttype/forms"/>
  </ds:schemaRefs>
</ds:datastoreItem>
</file>

<file path=customXml/itemProps3.xml><?xml version="1.0" encoding="utf-8"?>
<ds:datastoreItem xmlns:ds="http://schemas.openxmlformats.org/officeDocument/2006/customXml" ds:itemID="{2324A3C0-E7D1-478E-B430-1DE58D6893AF}">
  <ds:schemaRefs>
    <ds:schemaRef ds:uri="193397e8-0f8f-4f8c-b2ab-8c1f91492a9d"/>
    <ds:schemaRef ds:uri="http://www.w3.org/XML/1998/namespace"/>
    <ds:schemaRef ds:uri="http://schemas.microsoft.com/office/2006/documentManagement/types"/>
    <ds:schemaRef ds:uri="http://purl.org/dc/dcmitype/"/>
    <ds:schemaRef ds:uri="http://purl.org/dc/elements/1.1/"/>
    <ds:schemaRef ds:uri="http://schemas.microsoft.com/office/2006/metadata/properties"/>
    <ds:schemaRef ds:uri="http://purl.org/dc/terms/"/>
    <ds:schemaRef ds:uri="http://schemas.microsoft.com/office/infopath/2007/PartnerControls"/>
    <ds:schemaRef ds:uri="http://schemas.openxmlformats.org/package/2006/metadata/core-properties"/>
    <ds:schemaRef ds:uri="7185ba1f-c917-4bd6-8454-0c7f788f7c87"/>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59</vt:i4>
      </vt:variant>
    </vt:vector>
  </HeadingPairs>
  <TitlesOfParts>
    <vt:vector size="64" baseType="lpstr">
      <vt:lpstr>Menu</vt:lpstr>
      <vt:lpstr>Customer</vt:lpstr>
      <vt:lpstr>Dress</vt:lpstr>
      <vt:lpstr>Quantity</vt:lpstr>
      <vt:lpstr>Rental</vt:lpstr>
      <vt:lpstr>AnnaCColour</vt:lpstr>
      <vt:lpstr>AnnaCDN</vt:lpstr>
      <vt:lpstr>AnnaCSize</vt:lpstr>
      <vt:lpstr>CalvinK1Colour</vt:lpstr>
      <vt:lpstr>CalvinK1Size</vt:lpstr>
      <vt:lpstr>CalvinK2Size</vt:lpstr>
      <vt:lpstr>CalvinKDN</vt:lpstr>
      <vt:lpstr>CalvinKlein2Colour</vt:lpstr>
      <vt:lpstr>Customer</vt:lpstr>
      <vt:lpstr>DianeVFColour</vt:lpstr>
      <vt:lpstr>DianeVFSize</vt:lpstr>
      <vt:lpstr>DianevonFDN</vt:lpstr>
      <vt:lpstr>DonnaKColour</vt:lpstr>
      <vt:lpstr>DonnaKDN</vt:lpstr>
      <vt:lpstr>DonnaKSize</vt:lpstr>
      <vt:lpstr>Dress</vt:lpstr>
      <vt:lpstr>DressID</vt:lpstr>
      <vt:lpstr>ElieT1Colour</vt:lpstr>
      <vt:lpstr>ElieT1Size</vt:lpstr>
      <vt:lpstr>ElieT2Colour</vt:lpstr>
      <vt:lpstr>ElieT2Size</vt:lpstr>
      <vt:lpstr>ElieTDN</vt:lpstr>
      <vt:lpstr>GaliaLColour</vt:lpstr>
      <vt:lpstr>GaliaLDN</vt:lpstr>
      <vt:lpstr>GaliaLSize</vt:lpstr>
      <vt:lpstr>GiorgioAColour</vt:lpstr>
      <vt:lpstr>GiorgioADN</vt:lpstr>
      <vt:lpstr>GiorgioASize</vt:lpstr>
      <vt:lpstr>Halston1Colour</vt:lpstr>
      <vt:lpstr>Halston1Size</vt:lpstr>
      <vt:lpstr>Halston2Colour</vt:lpstr>
      <vt:lpstr>Halston2Size</vt:lpstr>
      <vt:lpstr>HalstonDN</vt:lpstr>
      <vt:lpstr>HerveLColour</vt:lpstr>
      <vt:lpstr>HerveLDN</vt:lpstr>
      <vt:lpstr>HerveLSize</vt:lpstr>
      <vt:lpstr>KateS1Colour</vt:lpstr>
      <vt:lpstr>KateS1Size</vt:lpstr>
      <vt:lpstr>KateS2Colour</vt:lpstr>
      <vt:lpstr>KateS2Size</vt:lpstr>
      <vt:lpstr>KateSDN</vt:lpstr>
      <vt:lpstr>PninaTColour</vt:lpstr>
      <vt:lpstr>PninaTDN</vt:lpstr>
      <vt:lpstr>PninaTSize</vt:lpstr>
      <vt:lpstr>Rental</vt:lpstr>
      <vt:lpstr>RVNColour</vt:lpstr>
      <vt:lpstr>RVNDN</vt:lpstr>
      <vt:lpstr>RVNSize</vt:lpstr>
      <vt:lpstr>ShoshannaColour</vt:lpstr>
      <vt:lpstr>ShoshannaDN</vt:lpstr>
      <vt:lpstr>ShoshannaSize</vt:lpstr>
      <vt:lpstr>TracyRColour</vt:lpstr>
      <vt:lpstr>TracyRDN</vt:lpstr>
      <vt:lpstr>TracyRSize</vt:lpstr>
      <vt:lpstr>VeraW1Colour</vt:lpstr>
      <vt:lpstr>VeraW1Size</vt:lpstr>
      <vt:lpstr>VeraW2Colour</vt:lpstr>
      <vt:lpstr>VeraW2Size</vt:lpstr>
      <vt:lpstr>VeraWDN</vt:lpstr>
    </vt:vector>
  </TitlesOfParts>
  <Manager/>
  <Company>Microsoft</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Paul Chan</dc:creator>
  <cp:keywords/>
  <dc:description/>
  <cp:lastModifiedBy>Ngoc Luu</cp:lastModifiedBy>
  <cp:revision/>
  <dcterms:created xsi:type="dcterms:W3CDTF">2022-08-29T12:05:27Z</dcterms:created>
  <dcterms:modified xsi:type="dcterms:W3CDTF">2023-09-22T04:36:44Z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0x010100949AD8888C0D7244ABD6093B74F8FB4D</vt:lpwstr>
  </property>
</Properties>
</file>