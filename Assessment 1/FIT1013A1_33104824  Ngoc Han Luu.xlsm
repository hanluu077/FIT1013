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chartsheets/sheet1.xml" ContentType="application/vnd.openxmlformats-officedocument.spreadsheetml.chart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1.xml" ContentType="application/vnd.openxmlformats-officedocument.drawing+xml"/>
  <Override PartName="/xl/tables/table6.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1.xml" ContentType="application/vnd.openxmlformats-officedocument.spreadsheetml.table+xml"/>
  <Override PartName="/xl/tables/table12.xml" ContentType="application/vnd.openxmlformats-officedocument.spreadsheetml.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4" codeName="{A63ED3A1-9429-3D75-F2AA-CA7E51A8F3A1}"/>
  <workbookPr codeName="ThisWorkbook" hidePivotFieldList="1" defaultThemeVersion="124226"/>
  <mc:AlternateContent xmlns:mc="http://schemas.openxmlformats.org/markup-compatibility/2006">
    <mc:Choice Requires="x15">
      <x15ac:absPath xmlns:x15ac="http://schemas.microsoft.com/office/spreadsheetml/2010/11/ac" url="/Users/Student/Desktop/UNI/FIT1013 - Digital futures/Assessment 1/"/>
    </mc:Choice>
  </mc:AlternateContent>
  <xr:revisionPtr revIDLastSave="0" documentId="13_ncr:1_{A5884621-8209-BF44-8EE0-2412BD99870D}" xr6:coauthVersionLast="47" xr6:coauthVersionMax="47" xr10:uidLastSave="{00000000-0000-0000-0000-000000000000}"/>
  <bookViews>
    <workbookView xWindow="500" yWindow="500" windowWidth="28800" windowHeight="17500" activeTab="12" xr2:uid="{00000000-000D-0000-FFFF-FFFF00000000}"/>
  </bookViews>
  <sheets>
    <sheet name="Introduction" sheetId="59" r:id="rId1"/>
    <sheet name="Dress Rental (OG)" sheetId="1" r:id="rId2"/>
    <sheet name="Dress Rental (QA)" sheetId="2" r:id="rId3"/>
    <sheet name="1. Quick Analysis (QA)" sheetId="10" r:id="rId4"/>
    <sheet name="2. Dress Rental (F&amp;S)" sheetId="5" r:id="rId5"/>
    <sheet name="3.Applying Condition Formatting" sheetId="8" r:id="rId6"/>
    <sheet name="4.1 Charts and Data" sheetId="9" r:id="rId7"/>
    <sheet name="4.2 Piv Table" sheetId="56" r:id="rId8"/>
    <sheet name="5.1 Advance functions (IF)" sheetId="12" r:id="rId9"/>
    <sheet name="5.2 Advance functions (Vlookup)" sheetId="11" r:id="rId10"/>
    <sheet name="6. Macros" sheetId="14" r:id="rId11"/>
    <sheet name="Chart1" sheetId="58" r:id="rId12"/>
    <sheet name="7. Doccumentation" sheetId="51" r:id="rId13"/>
  </sheets>
  <definedNames>
    <definedName name="_xlnm._FilterDatabase" localSheetId="4" hidden="1">'2. Dress Rental (F&amp;S)'!$A$1:$F$102</definedName>
    <definedName name="_xlnm._FilterDatabase" localSheetId="5" hidden="1">'3.Applying Condition Formatting'!$A$1:$F$102</definedName>
    <definedName name="_xlnm._FilterDatabase" localSheetId="1" hidden="1">'Dress Rental (OG)'!$A$1:$H$102</definedName>
    <definedName name="_xlnm._FilterDatabase" localSheetId="2" hidden="1">'Dress Rental (QA)'!$A$1:$I$102</definedName>
    <definedName name="amount" localSheetId="4">'2. Dress Rental (F&amp;S)'!$D$2:$D$101</definedName>
    <definedName name="amount" localSheetId="5">'3.Applying Condition Formatting'!$D$2:$D$101</definedName>
    <definedName name="amount" localSheetId="2">'Dress Rental (QA)'!$E$2:$E$101</definedName>
    <definedName name="amount">'Dress Rental (OG)'!$E$2:$E$101</definedName>
    <definedName name="DateRange" localSheetId="4">'2. Dress Rental (F&amp;S)'!$F$2:$F$101</definedName>
    <definedName name="DateRange" localSheetId="5">'3.Applying Condition Formatting'!$F$2:$F$101</definedName>
    <definedName name="DateRange" localSheetId="2">'Dress Rental (QA)'!$H$2:$H$101</definedName>
    <definedName name="DateRange">'Dress Rental (OG)'!$H$2:$H$101</definedName>
    <definedName name="Dress" localSheetId="4">'2. Dress Rental (F&amp;S)'!$A$1:$E$21</definedName>
    <definedName name="Dress" localSheetId="5">'3.Applying Condition Formatting'!$A$1:$E$21</definedName>
    <definedName name="Dress" localSheetId="2">'Dress Rental (QA)'!$A$1:$G$21</definedName>
    <definedName name="Dress">'Dress Rental (OG)'!$A$1:$G$21</definedName>
    <definedName name="dress_name" localSheetId="4">'2. Dress Rental (F&amp;S)'!$B$2:$B$101</definedName>
    <definedName name="dress_name" localSheetId="5">'3.Applying Condition Formatting'!$B$2:$B$101</definedName>
    <definedName name="dress_name" localSheetId="2">'Dress Rental (QA)'!$C$2:$C$101</definedName>
    <definedName name="dress_name">'Dress Rental (OG)'!$C$2:$C$101</definedName>
    <definedName name="_xlnm.Extract" localSheetId="4">'2. Dress Rental (F&amp;S)'!$H$1:$O$1</definedName>
    <definedName name="_xlnm.Extract" localSheetId="5">'3.Applying Condition Formatting'!$G$1:$M$1</definedName>
    <definedName name="Rent_Date">'Dress Rental (QA)'!$H$1:$H$101</definedName>
    <definedName name="Rental_Price" localSheetId="3">Table1[RentalPrice]</definedName>
    <definedName name="Rental_Price" localSheetId="4">Table1[RentalPrice]</definedName>
    <definedName name="Rental_Price" localSheetId="5">Table1[RentalPrice]</definedName>
    <definedName name="Rental_Price" localSheetId="8">Table1[RentalPrice]</definedName>
    <definedName name="Rental_Price" localSheetId="10">Table1[RentalPrice]</definedName>
    <definedName name="Rental_Price">Table1[RentalPrice]</definedName>
    <definedName name="Retail_Price">'Dress Rental (QA)'!$F$1:$F$101</definedName>
    <definedName name="Size">'Dress Rental (QA)'!$G$1:$G$101</definedName>
    <definedName name="Slicer_Designer">#N/A</definedName>
    <definedName name="Slicer_Rentals_in_2021">#N/A</definedName>
    <definedName name="Slicer_Rentals_in_2022">#N/A</definedName>
    <definedName name="Year">'Dress Rental (QA)'!$I$1:$I$101</definedName>
  </definedNames>
  <calcPr calcId="191029"/>
  <pivotCaches>
    <pivotCache cacheId="2" r:id="rId14"/>
  </pivotCaches>
  <extLst>
    <ext xmlns:x14="http://schemas.microsoft.com/office/spreadsheetml/2009/9/main" uri="{BBE1A952-AA13-448e-AADC-164F8A28A991}">
      <x14:slicerCaches>
        <x14:slicerCache r:id="rId15"/>
        <x14:slicerCache r:id="rId16"/>
        <x14:slicerCache r:id="rId17"/>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6" i="14" l="1"/>
  <c r="C3" i="14"/>
  <c r="C5" i="14"/>
  <c r="C4" i="14"/>
  <c r="C6" i="12"/>
  <c r="E5" i="10"/>
  <c r="D4" i="10"/>
  <c r="E2" i="9"/>
  <c r="E22" i="9" s="1"/>
  <c r="E3" i="9"/>
  <c r="E4" i="9"/>
  <c r="E5" i="9"/>
  <c r="E6" i="9"/>
  <c r="E7" i="9"/>
  <c r="E8" i="9"/>
  <c r="E9" i="9"/>
  <c r="E10" i="9"/>
  <c r="E11" i="9"/>
  <c r="E12" i="9"/>
  <c r="E13" i="9"/>
  <c r="E14" i="9"/>
  <c r="E15" i="9"/>
  <c r="E16" i="9"/>
  <c r="E17" i="9"/>
  <c r="E18" i="9"/>
  <c r="E19" i="9"/>
  <c r="E20" i="9"/>
  <c r="E21" i="9"/>
  <c r="D2" i="9"/>
  <c r="D22" i="9" s="1"/>
  <c r="D3" i="9"/>
  <c r="D4" i="9"/>
  <c r="D5" i="9"/>
  <c r="D6" i="9"/>
  <c r="D7" i="9"/>
  <c r="D8" i="9"/>
  <c r="D9" i="9"/>
  <c r="D10" i="9"/>
  <c r="D11" i="9"/>
  <c r="D12" i="9"/>
  <c r="D13" i="9"/>
  <c r="D14" i="9"/>
  <c r="D15" i="9"/>
  <c r="D16" i="9"/>
  <c r="D17" i="9"/>
  <c r="D18" i="9"/>
  <c r="D19" i="9"/>
  <c r="D20" i="9"/>
  <c r="D21" i="9"/>
  <c r="D28" i="10"/>
  <c r="F28" i="10" s="1"/>
  <c r="D29" i="10"/>
  <c r="F29" i="10" s="1"/>
  <c r="D30" i="10"/>
  <c r="F30" i="10" s="1"/>
  <c r="D31" i="10"/>
  <c r="F31" i="10" s="1"/>
  <c r="D32" i="10"/>
  <c r="F32" i="10" s="1"/>
  <c r="D33" i="10"/>
  <c r="F33" i="10" s="1"/>
  <c r="D34" i="10"/>
  <c r="F34" i="10" s="1"/>
  <c r="D35" i="10"/>
  <c r="F35" i="10" s="1"/>
  <c r="D36" i="10"/>
  <c r="F36" i="10" s="1"/>
  <c r="D37" i="10"/>
  <c r="F37" i="10" s="1"/>
  <c r="D38" i="10"/>
  <c r="F38" i="10" s="1"/>
  <c r="D39" i="10"/>
  <c r="F39" i="10" s="1"/>
  <c r="D40" i="10"/>
  <c r="F40" i="10" s="1"/>
  <c r="D41" i="10"/>
  <c r="F41" i="10" s="1"/>
  <c r="D42" i="10"/>
  <c r="F42" i="10" s="1"/>
  <c r="D43" i="10"/>
  <c r="F43" i="10" s="1"/>
  <c r="D44" i="10"/>
  <c r="F44" i="10" s="1"/>
  <c r="D45" i="10"/>
  <c r="F45" i="10" s="1"/>
  <c r="D46" i="10"/>
  <c r="F46" i="10" s="1"/>
  <c r="D27" i="10"/>
  <c r="F27" i="10" s="1"/>
  <c r="D3" i="10"/>
  <c r="D5" i="10"/>
  <c r="D6" i="10"/>
  <c r="D7" i="10"/>
  <c r="D8" i="10"/>
  <c r="D9" i="10"/>
  <c r="D10" i="10"/>
  <c r="D11" i="10"/>
  <c r="D12" i="10"/>
  <c r="D13" i="10"/>
  <c r="D14" i="10"/>
  <c r="D15" i="10"/>
  <c r="D16" i="10"/>
  <c r="D17" i="10"/>
  <c r="D18" i="10"/>
  <c r="D19" i="10"/>
  <c r="D20" i="10"/>
  <c r="D21" i="10"/>
  <c r="D22" i="10"/>
  <c r="E22" i="10"/>
  <c r="E21" i="10"/>
  <c r="E20" i="10"/>
  <c r="E19" i="10"/>
  <c r="E18" i="10"/>
  <c r="E17" i="10"/>
  <c r="E16" i="10"/>
  <c r="E15" i="10"/>
  <c r="E14" i="10"/>
  <c r="E13" i="10"/>
  <c r="E12" i="10"/>
  <c r="E11" i="10"/>
  <c r="E10" i="10"/>
  <c r="E9" i="10"/>
  <c r="E8" i="10"/>
  <c r="E7" i="10"/>
  <c r="E6" i="10"/>
  <c r="E4" i="10"/>
  <c r="E3" i="10"/>
  <c r="D103" i="8"/>
  <c r="D102" i="8"/>
  <c r="E46" i="10" l="1"/>
  <c r="E42" i="10"/>
  <c r="E38" i="10"/>
  <c r="E34" i="10"/>
  <c r="E30" i="10"/>
  <c r="E45" i="10"/>
  <c r="E41" i="10"/>
  <c r="E37" i="10"/>
  <c r="E33" i="10"/>
  <c r="E29" i="10"/>
  <c r="E44" i="10"/>
  <c r="E40" i="10"/>
  <c r="E36" i="10"/>
  <c r="E32" i="10"/>
  <c r="E28" i="10"/>
  <c r="E43" i="10"/>
  <c r="E39" i="10"/>
  <c r="E35" i="10"/>
  <c r="E31" i="10"/>
  <c r="E27" i="10"/>
  <c r="F47" i="10"/>
  <c r="D47" i="10"/>
  <c r="E23" i="10"/>
  <c r="D23" i="10"/>
  <c r="E102" i="2"/>
  <c r="I64" i="2"/>
  <c r="I2" i="2"/>
  <c r="I36" i="2"/>
  <c r="I30" i="2"/>
  <c r="I68" i="2"/>
  <c r="I97" i="2"/>
  <c r="I10" i="2"/>
  <c r="I17" i="2"/>
  <c r="I25" i="2"/>
  <c r="I49" i="2"/>
  <c r="I54" i="2"/>
  <c r="I80" i="2"/>
  <c r="I86" i="2"/>
  <c r="I83" i="2"/>
  <c r="I94" i="2"/>
  <c r="I5" i="2"/>
  <c r="I42" i="2"/>
  <c r="I75" i="2"/>
  <c r="I89" i="2"/>
  <c r="I60" i="2"/>
  <c r="I65" i="2"/>
  <c r="I3" i="2"/>
  <c r="I37" i="2"/>
  <c r="I31" i="2"/>
  <c r="I69" i="2"/>
  <c r="I38" i="2"/>
  <c r="I32" i="2"/>
  <c r="I70" i="2"/>
  <c r="I98" i="2"/>
  <c r="I11" i="2"/>
  <c r="I18" i="2"/>
  <c r="I12" i="2"/>
  <c r="I19" i="2"/>
  <c r="I26" i="2"/>
  <c r="I50" i="2"/>
  <c r="I55" i="2"/>
  <c r="I81" i="2"/>
  <c r="I87" i="2"/>
  <c r="I84" i="2"/>
  <c r="I95" i="2"/>
  <c r="I6" i="2"/>
  <c r="I43" i="2"/>
  <c r="I76" i="2"/>
  <c r="I7" i="2"/>
  <c r="I44" i="2"/>
  <c r="I77" i="2"/>
  <c r="I90" i="2"/>
  <c r="I61" i="2"/>
  <c r="I66" i="2"/>
  <c r="I4" i="2"/>
  <c r="I39" i="2"/>
  <c r="I82" i="2"/>
  <c r="I88" i="2"/>
  <c r="I85" i="2"/>
  <c r="I96" i="2"/>
  <c r="I8" i="2"/>
  <c r="I45" i="2"/>
  <c r="I71" i="2"/>
  <c r="I40" i="2"/>
  <c r="I33" i="2"/>
  <c r="I72" i="2"/>
  <c r="I99" i="2"/>
  <c r="I13" i="2"/>
  <c r="I20" i="2"/>
  <c r="I14" i="2"/>
  <c r="I21" i="2"/>
  <c r="I27" i="2"/>
  <c r="I51" i="2"/>
  <c r="I56" i="2"/>
  <c r="I46" i="2"/>
  <c r="I78" i="2"/>
  <c r="I91" i="2"/>
  <c r="I62" i="2"/>
  <c r="I67" i="2"/>
  <c r="I100" i="2"/>
  <c r="I15" i="2"/>
  <c r="I22" i="2"/>
  <c r="I28" i="2"/>
  <c r="I52" i="2"/>
  <c r="I57" i="2"/>
  <c r="I9" i="2"/>
  <c r="I47" i="2"/>
  <c r="I73" i="2"/>
  <c r="I41" i="2"/>
  <c r="I34" i="2"/>
  <c r="I58" i="2"/>
  <c r="I48" i="2"/>
  <c r="I79" i="2"/>
  <c r="I92" i="2"/>
  <c r="I23" i="2"/>
  <c r="I29" i="2"/>
  <c r="I53" i="2"/>
  <c r="I59" i="2"/>
  <c r="I35" i="2"/>
  <c r="I74" i="2"/>
  <c r="I101" i="2"/>
  <c r="I16" i="2"/>
  <c r="I24" i="2"/>
  <c r="I93" i="2"/>
  <c r="I63" i="2"/>
  <c r="E102" i="1"/>
  <c r="C20" i="9" l="1"/>
  <c r="C16" i="9"/>
  <c r="C12" i="9"/>
  <c r="C8" i="9"/>
  <c r="C4" i="9"/>
  <c r="C45" i="10"/>
  <c r="C41" i="10"/>
  <c r="C37" i="10"/>
  <c r="C33" i="10"/>
  <c r="C29" i="10"/>
  <c r="C19" i="9"/>
  <c r="C15" i="9"/>
  <c r="C11" i="9"/>
  <c r="C7" i="9"/>
  <c r="C3" i="9"/>
  <c r="C44" i="10"/>
  <c r="C40" i="10"/>
  <c r="C36" i="10"/>
  <c r="C32" i="10"/>
  <c r="C28" i="10"/>
  <c r="C18" i="9"/>
  <c r="C14" i="9"/>
  <c r="C10" i="9"/>
  <c r="C6" i="9"/>
  <c r="C2" i="9"/>
  <c r="C43" i="10"/>
  <c r="C39" i="10"/>
  <c r="C35" i="10"/>
  <c r="C31" i="10"/>
  <c r="C27" i="10"/>
  <c r="C21" i="9"/>
  <c r="C17" i="9"/>
  <c r="C13" i="9"/>
  <c r="C9" i="9"/>
  <c r="C5" i="9"/>
  <c r="C46" i="10"/>
  <c r="C42" i="10"/>
  <c r="C38" i="10"/>
  <c r="C34" i="10"/>
  <c r="C30" i="10"/>
  <c r="E47" i="10"/>
  <c r="C3" i="10"/>
  <c r="C8" i="14"/>
  <c r="D8" i="14" s="1"/>
  <c r="D4" i="14"/>
  <c r="C7" i="11"/>
  <c r="D7" i="11" s="1"/>
  <c r="C7" i="14"/>
  <c r="D7" i="14" s="1"/>
  <c r="D3" i="14"/>
  <c r="C8" i="11"/>
  <c r="D8" i="11" s="1"/>
  <c r="D6" i="14"/>
  <c r="D5" i="14"/>
  <c r="C4" i="11"/>
  <c r="D4" i="11" s="1"/>
  <c r="C8" i="12"/>
  <c r="D8" i="12" s="1"/>
  <c r="D6" i="12"/>
  <c r="C4" i="12"/>
  <c r="D4" i="12" s="1"/>
  <c r="C5" i="11"/>
  <c r="D5" i="11" s="1"/>
  <c r="C3" i="11"/>
  <c r="D3" i="11" s="1"/>
  <c r="C6" i="11"/>
  <c r="D6" i="11" s="1"/>
  <c r="C7" i="12"/>
  <c r="D7" i="12" s="1"/>
  <c r="C5" i="12"/>
  <c r="D5" i="12" s="1"/>
  <c r="C3" i="12"/>
  <c r="D3" i="12" s="1"/>
  <c r="C20" i="10"/>
  <c r="C16" i="10"/>
  <c r="C12" i="10"/>
  <c r="C8" i="10"/>
  <c r="C4" i="10"/>
  <c r="C21" i="10"/>
  <c r="C17" i="10"/>
  <c r="C13" i="10"/>
  <c r="C9" i="10"/>
  <c r="C5" i="10"/>
  <c r="C22" i="10"/>
  <c r="C18" i="10"/>
  <c r="C14" i="10"/>
  <c r="C10" i="10"/>
  <c r="C6" i="10"/>
  <c r="C19" i="10"/>
  <c r="C15" i="10"/>
  <c r="C11" i="10"/>
  <c r="C7" i="10"/>
  <c r="C22" i="9" l="1"/>
  <c r="D102" i="5"/>
  <c r="D103" i="5"/>
</calcChain>
</file>

<file path=xl/sharedStrings.xml><?xml version="1.0" encoding="utf-8"?>
<sst xmlns="http://schemas.openxmlformats.org/spreadsheetml/2006/main" count="1733" uniqueCount="231">
  <si>
    <t>Designer</t>
  </si>
  <si>
    <t>DressName</t>
  </si>
  <si>
    <t>Color</t>
  </si>
  <si>
    <t>RentalPrice</t>
  </si>
  <si>
    <t>RetailPrice</t>
  </si>
  <si>
    <t>Size</t>
  </si>
  <si>
    <t>101</t>
  </si>
  <si>
    <t>Giorgio Armani</t>
  </si>
  <si>
    <t>Rainbow</t>
  </si>
  <si>
    <t>Multi</t>
  </si>
  <si>
    <t>102</t>
  </si>
  <si>
    <t>Vera Wang</t>
  </si>
  <si>
    <t>Paisley Lace</t>
  </si>
  <si>
    <t>Pink</t>
  </si>
  <si>
    <t>103</t>
  </si>
  <si>
    <t>Kate Spade</t>
  </si>
  <si>
    <t>Circles of Ruffles</t>
  </si>
  <si>
    <t>104</t>
  </si>
  <si>
    <t>Pnina Tornai</t>
  </si>
  <si>
    <t>P by Pnina</t>
  </si>
  <si>
    <t>White</t>
  </si>
  <si>
    <t>105</t>
  </si>
  <si>
    <t>Galia Lahav</t>
  </si>
  <si>
    <t>bridal couture</t>
  </si>
  <si>
    <t>106</t>
  </si>
  <si>
    <t>Anna Campbell</t>
  </si>
  <si>
    <t>Lovely and feminine</t>
  </si>
  <si>
    <t>Black</t>
  </si>
  <si>
    <t>107</t>
  </si>
  <si>
    <t>Tracy Reese</t>
  </si>
  <si>
    <t>Graceful</t>
  </si>
  <si>
    <t>Red</t>
  </si>
  <si>
    <t>108</t>
  </si>
  <si>
    <t>Shoshanna</t>
  </si>
  <si>
    <t>Orchid</t>
  </si>
  <si>
    <t>Navy</t>
  </si>
  <si>
    <t>109</t>
  </si>
  <si>
    <t>RVN</t>
  </si>
  <si>
    <t>Fern</t>
  </si>
  <si>
    <t>Green</t>
  </si>
  <si>
    <t>110</t>
  </si>
  <si>
    <t>Herve Leger</t>
  </si>
  <si>
    <t>Pebbles</t>
  </si>
  <si>
    <t>Gold</t>
  </si>
  <si>
    <t>111</t>
  </si>
  <si>
    <t>Halston</t>
  </si>
  <si>
    <t>Perfect Wave</t>
  </si>
  <si>
    <t>112</t>
  </si>
  <si>
    <t>Elie Tahari</t>
  </si>
  <si>
    <t>Wheatly</t>
  </si>
  <si>
    <t>Purple</t>
  </si>
  <si>
    <t>113</t>
  </si>
  <si>
    <t>Diane von Furstenberg</t>
  </si>
  <si>
    <t>Preen Press</t>
  </si>
  <si>
    <t>Blue</t>
  </si>
  <si>
    <t>114</t>
  </si>
  <si>
    <t>Donna Karan</t>
  </si>
  <si>
    <t>Plain Sheath</t>
  </si>
  <si>
    <t>115</t>
  </si>
  <si>
    <t>Calvin Klein</t>
  </si>
  <si>
    <t>Wow</t>
  </si>
  <si>
    <t>Orange</t>
  </si>
  <si>
    <t>116</t>
  </si>
  <si>
    <t>117</t>
  </si>
  <si>
    <t>Flower Blossom</t>
  </si>
  <si>
    <t>118</t>
  </si>
  <si>
    <t>Seeds and Fruits</t>
  </si>
  <si>
    <t>Grey</t>
  </si>
  <si>
    <t>119</t>
  </si>
  <si>
    <t>Vixen</t>
  </si>
  <si>
    <t>Natural</t>
  </si>
  <si>
    <t>120</t>
  </si>
  <si>
    <t>Shoulder Dress</t>
  </si>
  <si>
    <t>Tan</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</si>
  <si>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</si>
  <si>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</si>
  <si>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</si>
  <si>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</si>
  <si>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</si>
  <si>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</si>
  <si>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</si>
  <si>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</si>
  <si>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</si>
  <si>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</si>
  <si>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</si>
  <si>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</si>
  <si>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</si>
  <si>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</si>
  <si>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</si>
  <si>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</si>
  <si>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</si>
  <si>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</si>
  <si>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</si>
  <si>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</si>
  <si>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</si>
  <si>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</si>
  <si>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</si>
  <si>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</si>
  <si>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</si>
  <si>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</si>
  <si>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</si>
  <si>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</si>
  <si>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</si>
  <si>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</si>
  <si>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</si>
  <si>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</si>
  <si>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</si>
  <si>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</si>
  <si>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</si>
  <si>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</si>
  <si>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</si>
  <si>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</si>
  <si>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</si>
  <si>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</si>
  <si>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</si>
  <si>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</si>
  <si>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</si>
  <si>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</si>
  <si>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</si>
  <si>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</si>
  <si>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</si>
  <si>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</si>
  <si>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</si>
  <si>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</si>
  <si>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</si>
  <si>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</si>
  <si>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</si>
  <si>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</si>
  <si>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</si>
  <si>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</si>
  <si>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</si>
  <si>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</si>
  <si>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</si>
  <si>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</si>
  <si>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</si>
  <si>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</si>
  <si>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</si>
  <si>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</si>
  <si>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</si>
  <si>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</si>
  <si>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</si>
  <si>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</si>
  <si>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</si>
  <si>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</si>
  <si>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</si>
  <si>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</si>
  <si>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</si>
  <si>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</si>
  <si>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</si>
  <si>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</si>
  <si>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</si>
  <si>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</si>
  <si>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</si>
  <si>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</si>
  <si>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RentDate</t>
    <phoneticPr fontId="2" type="noConversion"/>
  </si>
  <si>
    <t>Shortcake Dress</t>
    <phoneticPr fontId="2" type="noConversion"/>
  </si>
  <si>
    <t>RentalID</t>
    <phoneticPr fontId="2" type="noConversion"/>
  </si>
  <si>
    <t>Year</t>
  </si>
  <si>
    <t>Shortcake Dress</t>
  </si>
  <si>
    <t>No. Rentals</t>
  </si>
  <si>
    <t>Sales in 2021</t>
  </si>
  <si>
    <t>Sales in 2022</t>
  </si>
  <si>
    <t>Total:</t>
  </si>
  <si>
    <t>Status</t>
  </si>
  <si>
    <t>4-5</t>
  </si>
  <si>
    <t>6-7</t>
  </si>
  <si>
    <t>under rented</t>
  </si>
  <si>
    <t>over rented</t>
  </si>
  <si>
    <t xml:space="preserve">Number of Rentals </t>
  </si>
  <si>
    <t>3 and below</t>
  </si>
  <si>
    <t>8 and above</t>
  </si>
  <si>
    <t>need promotion</t>
  </si>
  <si>
    <t xml:space="preserve">normal </t>
  </si>
  <si>
    <t>Column1</t>
  </si>
  <si>
    <t xml:space="preserve">Table 2: Rental-status table </t>
  </si>
  <si>
    <t>Table 3: Designer dress rental status - Nested IF function</t>
  </si>
  <si>
    <t>Table 3: Designer dress rental status - VLOOKUP</t>
  </si>
  <si>
    <t>Lowest Value</t>
  </si>
  <si>
    <t>`</t>
  </si>
  <si>
    <t>Doccumentation</t>
  </si>
  <si>
    <t>Inflamtation in 2022</t>
  </si>
  <si>
    <t>Reach $10,000 in 2022
 with inflamation</t>
  </si>
  <si>
    <t>Inflamation percentage in 2022</t>
  </si>
  <si>
    <t xml:space="preserve"> </t>
  </si>
  <si>
    <t>Approx inflamation percentage to reach $10,000 in 2022</t>
  </si>
  <si>
    <t>Sum:</t>
  </si>
  <si>
    <t>Rentals in 2021</t>
  </si>
  <si>
    <t>Rentals in 2022</t>
  </si>
  <si>
    <t>Row Labels</t>
  </si>
  <si>
    <t>Grand Total</t>
  </si>
  <si>
    <t>Sum of Rentals in 2021</t>
  </si>
  <si>
    <t>Sum of Rentals in 2022</t>
  </si>
  <si>
    <t xml:space="preserve">Dress Rental (OG) </t>
  </si>
  <si>
    <t>Sheet ID</t>
  </si>
  <si>
    <t xml:space="preserve">Topic </t>
  </si>
  <si>
    <t>Instructions and Notes</t>
  </si>
  <si>
    <t>Dress Rental (QA)</t>
  </si>
  <si>
    <t xml:space="preserve">Quick Analysis (QA) </t>
  </si>
  <si>
    <t>Dress Rentals (F&amp;S)</t>
  </si>
  <si>
    <t>For easy and a summary of the quick analysis (QA) of the dress rentals, a table has been created to simplify the data. 
Two tables are created to represent the summary and the prediction of the impact on the inflamation prices. Both tables contains filters to easily gather and find the required materials. 
This worksheet is also protecting the data,  however, filtering the data is still accessiable to users. The percentage inflamation in 2022 and the goal to acheive $10,000 in 2022 can also be changed to compare values.</t>
  </si>
  <si>
    <t>This page contains the raw data that was provided. No edit, formats or changes can be made onto this doccument as this sheet is fully protected to ensure that the integreity of the data is preserved. This method allows users to have quality control if  data in other sheets has been corrupted by any human error.</t>
  </si>
  <si>
    <t xml:space="preserve">The 'Dress Rental Quick Analysis (QA)' has a clear format to view the raw data. This sheet is protected but users have restricted  access to only filters the filter functions to ensure that formating of the table and the results cannot be changed. </t>
  </si>
  <si>
    <t>Appying Condition Formatting</t>
  </si>
  <si>
    <t>Charts and Data</t>
  </si>
  <si>
    <t>Piv Table</t>
  </si>
  <si>
    <t>Macros</t>
  </si>
  <si>
    <t>Dress Rentals (Filter &amp; Sort). This has been pre-sorted based on the data given.</t>
  </si>
  <si>
    <t xml:space="preserve">The table in this sheet gives an overview of the number of rentals within 2021, 2022 as well as the total rental for both year. Provided on the sheet also contains visual graphs to summarise the important informtation, with clear and appropriate labels. </t>
  </si>
  <si>
    <t xml:space="preserve">The Pivot table organises the data based on the desiger. Since some designer  have multiple dresses, this pivot table is also assisted with a slicer to easily compare the amount of dresses being rented within the years. </t>
  </si>
  <si>
    <t>Advance function (IF)</t>
  </si>
  <si>
    <t>Advance function (Vlookup)</t>
  </si>
  <si>
    <t xml:space="preserve">This table is able to identify the status of the rental dressed by reffering to the 'Rental Status Table'. Although the numbers are fixed, the prompt for the status can change and will update if any changes were to be made. </t>
  </si>
  <si>
    <t>This table is able to identify the status of the rental dressed by reffering to the 'Rental Status Table'. Updates to the status can be made by changing the lowest value in the table, which will update the status on the summary table.</t>
  </si>
  <si>
    <t>Need promotion</t>
  </si>
  <si>
    <t>Under rented</t>
  </si>
  <si>
    <t xml:space="preserve">Normal </t>
  </si>
  <si>
    <t>Over rented</t>
  </si>
  <si>
    <t xml:space="preserve">Contains 3 buttons that allows users with unique functionalities. The first button ("Create Chart") includes creating a chart for the represented data in a sperate and new sheet. 
The second button ("Protect Sheet") allows users make an update to the lowest values to match the status discription. If users input &lt; 0 or &gt;19, an error will pop up to inform users that the integer they put must be in range [0,19]. In addition, users are unable to make any changes outside these restricted cells. 
The third button ("Unprotect Sheet") unlocks the current page that gives users full permision to make changes to anything on the sheet. </t>
  </si>
  <si>
    <t>Dresses that are greater than 10 has been highlted in pink rows. Whilst if the dresses are within april for both 2021 and 2022, the row on the table is highlighted green.</t>
  </si>
  <si>
    <t>Dress rentals between 2021-22</t>
  </si>
  <si>
    <t>Dress rental inflamation impact 2022</t>
  </si>
  <si>
    <t>Author:</t>
  </si>
  <si>
    <t>Ngoc Han Luu</t>
  </si>
  <si>
    <t xml:space="preserve">Dress Rental </t>
  </si>
  <si>
    <t>Due:</t>
  </si>
  <si>
    <t>Assessment:</t>
  </si>
  <si>
    <t xml:space="preserve">Protect worksheet: Change values in C:3-C:8 to see update in rental status </t>
  </si>
  <si>
    <t>ID</t>
  </si>
  <si>
    <t>Assessment 1 Data Analysis and Data Visualisation</t>
  </si>
  <si>
    <t>Scenario</t>
  </si>
  <si>
    <t xml:space="preserve">SAF (Simon’s Amazon of Fashion) is a new start-up in Australia that
 buys designer dresses wholesale and rents them for only a fraction of the price of the dress. For example, SAF’s customers can wear an Armani gown that costs thousands of dollars for only $100. Your friend, Simon working in SAF, regularly creates reports about the business operations. Given the data file (FIT1013 A1_2022 Data.xlsx in Moodle), he would like you to use Excel functions and features to help him analyse the data and make the file more user-friendly for him in future analysis and data visualisations.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</si>
</sst>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164" formatCode="[$-409]mmmm\ d\,\ yyyy;@"/>
    <numFmt numFmtId="169" formatCode="&quot;$&quot;#,##0.00"/>
  </numFmts>
  <fonts count="17" x14ac:knownFonts="1">
    <font>
      <sz val="11"/>
      <color theme="1"/>
      <name val="Calibri"/>
      <family val="2"/>
      <scheme val="minor"/>
    </font>
    <font>
      <sz val="12"/>
      <color theme="1"/>
      <name val="Calibri"/>
      <family val="2"/>
      <scheme val="minor"/>
    </font>
    <font>
      <sz val="9"/>
      <name val="Calibri"/>
      <family val="3"/>
      <charset val="136"/>
      <scheme val="minor"/>
    </font>
    <font>
      <b/>
      <sz val="11"/>
      <color theme="1"/>
      <name val="Calibri"/>
      <family val="1"/>
      <charset val="136"/>
      <scheme val="minor"/>
    </font>
    <font>
      <sz val="10"/>
      <name val="Arial"/>
      <family val="2"/>
    </font>
    <font>
      <sz val="11"/>
      <color theme="1"/>
      <name val="Calibri"/>
      <family val="2"/>
      <scheme val="minor"/>
    </font>
    <font>
      <b/>
      <sz val="11"/>
      <color theme="0"/>
      <name val="Calibri"/>
      <family val="1"/>
      <charset val="136"/>
      <scheme val="minor"/>
    </font>
    <font>
      <sz val="11"/>
      <color rgb="FF000000"/>
      <name val="Calibri"/>
      <family val="2"/>
      <scheme val="minor"/>
    </font>
    <font>
      <b/>
      <sz val="11"/>
      <color theme="1"/>
      <name val="Calibri"/>
      <family val="2"/>
      <scheme val="minor"/>
    </font>
    <font>
      <sz val="8"/>
      <name val="Calibri"/>
      <family val="2"/>
      <scheme val="minor"/>
    </font>
    <font>
      <b/>
      <sz val="11"/>
      <color theme="0"/>
      <name val="Calibri"/>
      <family val="2"/>
      <scheme val="minor"/>
    </font>
    <font>
      <sz val="11"/>
      <color theme="0"/>
      <name val="Calibri"/>
      <family val="2"/>
      <scheme val="minor"/>
    </font>
    <font>
      <b/>
      <sz val="14"/>
      <color theme="1"/>
      <name val="Gisha"/>
      <family val="2"/>
    </font>
    <font>
      <sz val="14"/>
      <color theme="1"/>
      <name val="Calibri"/>
      <family val="2"/>
      <scheme val="minor"/>
    </font>
    <font>
      <sz val="14"/>
      <color rgb="FF000000"/>
      <name val="Calibri"/>
      <family val="2"/>
    </font>
    <font>
      <sz val="11"/>
      <color rgb="FF000000"/>
      <name val="Calibri"/>
      <family val="2"/>
    </font>
    <font>
      <sz val="12"/>
      <name val="Calibri"/>
      <family val="2"/>
    </font>
  </fonts>
  <fills count="14">
    <fill>
      <patternFill patternType="none"/>
    </fill>
    <fill>
      <patternFill patternType="gray125"/>
    </fill>
    <fill>
      <patternFill patternType="solid">
        <fgColor rgb="FF4F81BD"/>
        <bgColor indexed="64"/>
      </patternFill>
    </fill>
    <fill>
      <patternFill patternType="solid">
        <fgColor theme="2"/>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1" tint="0.34998626667073579"/>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bottom/>
      <diagonal/>
    </border>
    <border>
      <left/>
      <right/>
      <top/>
      <bottom style="thin">
        <color indexed="64"/>
      </bottom>
      <diagonal/>
    </border>
  </borders>
  <cellStyleXfs count="3">
    <xf numFmtId="0" fontId="0" fillId="0" borderId="0"/>
    <xf numFmtId="0" fontId="4" fillId="0" borderId="0"/>
    <xf numFmtId="44" fontId="5" fillId="0" borderId="0" applyFont="0" applyFill="0" applyBorder="0" applyAlignment="0" applyProtection="0"/>
  </cellStyleXfs>
  <cellXfs count="64">
    <xf numFmtId="0" fontId="0" fillId="0" borderId="0" xfId="0"/>
    <xf numFmtId="4" fontId="0" fillId="0" borderId="0" xfId="0" applyNumberFormat="1" applyAlignment="1">
      <alignment vertical="center"/>
    </xf>
    <xf numFmtId="0" fontId="3" fillId="0" borderId="0" xfId="0" applyFont="1"/>
    <xf numFmtId="14" fontId="0" fillId="0" borderId="0" xfId="0" applyNumberFormat="1"/>
    <xf numFmtId="164" fontId="0" fillId="0" borderId="0" xfId="0" applyNumberFormat="1"/>
    <xf numFmtId="0" fontId="6" fillId="0" borderId="1" xfId="0" applyFont="1" applyBorder="1"/>
    <xf numFmtId="0" fontId="0" fillId="0" borderId="1" xfId="0" applyBorder="1"/>
    <xf numFmtId="0" fontId="0" fillId="2" borderId="1" xfId="0" applyFill="1" applyBorder="1"/>
    <xf numFmtId="0" fontId="7" fillId="0" borderId="1" xfId="0" applyFont="1" applyBorder="1"/>
    <xf numFmtId="49" fontId="0" fillId="0" borderId="0" xfId="0" applyNumberFormat="1"/>
    <xf numFmtId="49" fontId="0" fillId="0" borderId="1" xfId="0" applyNumberFormat="1" applyBorder="1"/>
    <xf numFmtId="1" fontId="0" fillId="0" borderId="1" xfId="0" applyNumberFormat="1" applyBorder="1"/>
    <xf numFmtId="9" fontId="0" fillId="0" borderId="0" xfId="0" applyNumberFormat="1"/>
    <xf numFmtId="1" fontId="0" fillId="0" borderId="1" xfId="0" applyNumberFormat="1" applyBorder="1" applyProtection="1">
      <protection locked="0"/>
    </xf>
    <xf numFmtId="44" fontId="0" fillId="0" borderId="1" xfId="0" applyNumberFormat="1" applyBorder="1"/>
    <xf numFmtId="0" fontId="0" fillId="2" borderId="1" xfId="0" applyFill="1" applyBorder="1" applyAlignment="1">
      <alignment horizontal="right"/>
    </xf>
    <xf numFmtId="44" fontId="5" fillId="2" borderId="1" xfId="2" applyFont="1" applyFill="1" applyBorder="1"/>
    <xf numFmtId="44" fontId="0" fillId="0" borderId="0" xfId="0" applyNumberFormat="1"/>
    <xf numFmtId="44" fontId="0" fillId="0" borderId="3" xfId="0" applyNumberFormat="1" applyBorder="1"/>
    <xf numFmtId="44" fontId="5" fillId="0" borderId="0" xfId="2" applyFont="1" applyFill="1" applyBorder="1"/>
    <xf numFmtId="0" fontId="7" fillId="0" borderId="4" xfId="0" applyFont="1" applyBorder="1"/>
    <xf numFmtId="0" fontId="7" fillId="0" borderId="7" xfId="0" applyFont="1" applyBorder="1"/>
    <xf numFmtId="0" fontId="7" fillId="0" borderId="3" xfId="0" applyFont="1" applyBorder="1"/>
    <xf numFmtId="0" fontId="0" fillId="0" borderId="3" xfId="0" applyBorder="1"/>
    <xf numFmtId="0" fontId="7" fillId="2" borderId="1" xfId="0" applyFont="1" applyFill="1" applyBorder="1"/>
    <xf numFmtId="0" fontId="11" fillId="2" borderId="1" xfId="0" applyFont="1" applyFill="1" applyBorder="1"/>
    <xf numFmtId="0" fontId="11" fillId="2" borderId="1" xfId="0" applyFont="1" applyFill="1" applyBorder="1" applyAlignment="1">
      <alignment horizontal="right"/>
    </xf>
    <xf numFmtId="0" fontId="11" fillId="2" borderId="1" xfId="2" applyNumberFormat="1" applyFont="1" applyFill="1" applyBorder="1"/>
    <xf numFmtId="0" fontId="0" fillId="0" borderId="0" xfId="0" pivotButton="1"/>
    <xf numFmtId="0" fontId="0" fillId="0" borderId="0" xfId="0" applyAlignment="1">
      <alignment horizontal="left"/>
    </xf>
    <xf numFmtId="0" fontId="0" fillId="0" borderId="0" xfId="0" applyAlignment="1">
      <alignment horizontal="left" indent="1"/>
    </xf>
    <xf numFmtId="9" fontId="0" fillId="5" borderId="0" xfId="0" applyNumberFormat="1" applyFill="1" applyProtection="1">
      <protection locked="0"/>
    </xf>
    <xf numFmtId="10" fontId="0" fillId="7" borderId="0" xfId="0" applyNumberFormat="1" applyFill="1" applyProtection="1">
      <protection locked="0"/>
    </xf>
    <xf numFmtId="44" fontId="5" fillId="2" borderId="1" xfId="2" applyFont="1" applyFill="1" applyBorder="1" applyProtection="1"/>
    <xf numFmtId="44" fontId="5" fillId="0" borderId="0" xfId="2" applyFont="1" applyFill="1" applyBorder="1" applyProtection="1"/>
    <xf numFmtId="0" fontId="6" fillId="0" borderId="5" xfId="0" applyFont="1" applyBorder="1"/>
    <xf numFmtId="0" fontId="6" fillId="0" borderId="2" xfId="0" applyFont="1" applyBorder="1"/>
    <xf numFmtId="0" fontId="0" fillId="0" borderId="2" xfId="0" applyBorder="1"/>
    <xf numFmtId="0" fontId="0" fillId="0" borderId="6" xfId="0" applyBorder="1"/>
    <xf numFmtId="0" fontId="0" fillId="0" borderId="2" xfId="0" applyBorder="1" applyAlignment="1">
      <alignment wrapText="1"/>
    </xf>
    <xf numFmtId="44" fontId="0" fillId="4" borderId="0" xfId="0" applyNumberFormat="1" applyFill="1"/>
    <xf numFmtId="44" fontId="0" fillId="6" borderId="0" xfId="0" applyNumberFormat="1" applyFill="1"/>
    <xf numFmtId="0" fontId="0" fillId="0" borderId="0" xfId="0" applyAlignment="1">
      <alignment vertical="center"/>
    </xf>
    <xf numFmtId="0" fontId="0" fillId="8" borderId="1" xfId="0" applyFill="1" applyBorder="1"/>
    <xf numFmtId="0" fontId="0" fillId="3" borderId="1" xfId="0" applyFill="1" applyBorder="1"/>
    <xf numFmtId="0" fontId="0" fillId="11" borderId="1" xfId="0" applyFill="1" applyBorder="1" applyAlignment="1">
      <alignment wrapText="1"/>
    </xf>
    <xf numFmtId="0" fontId="0" fillId="8" borderId="1" xfId="0" applyFill="1" applyBorder="1" applyAlignment="1">
      <alignment horizontal="center" vertical="center"/>
    </xf>
    <xf numFmtId="0" fontId="11" fillId="10" borderId="1" xfId="0" applyFont="1" applyFill="1" applyBorder="1" applyAlignment="1">
      <alignment horizontal="center" vertical="center"/>
    </xf>
    <xf numFmtId="0" fontId="13" fillId="0" borderId="0" xfId="0" applyFont="1"/>
    <xf numFmtId="0" fontId="12" fillId="0" borderId="0" xfId="0" applyFont="1"/>
    <xf numFmtId="0" fontId="12" fillId="0" borderId="1" xfId="0" applyFont="1" applyBorder="1"/>
    <xf numFmtId="0" fontId="12" fillId="13" borderId="8" xfId="0" applyFont="1" applyFill="1" applyBorder="1" applyAlignment="1">
      <alignment horizontal="center"/>
    </xf>
    <xf numFmtId="0" fontId="12" fillId="13" borderId="0" xfId="0" applyFont="1" applyFill="1" applyAlignment="1">
      <alignment horizontal="center"/>
    </xf>
    <xf numFmtId="0" fontId="10" fillId="12" borderId="9" xfId="0" applyFont="1" applyFill="1" applyBorder="1" applyAlignment="1">
      <alignment horizontal="center"/>
    </xf>
    <xf numFmtId="0" fontId="10" fillId="12" borderId="0" xfId="0" applyFont="1" applyFill="1" applyAlignment="1">
      <alignment horizontal="center"/>
    </xf>
    <xf numFmtId="0" fontId="8" fillId="0" borderId="1" xfId="0" applyFont="1" applyBorder="1" applyAlignment="1">
      <alignment horizontal="center"/>
    </xf>
    <xf numFmtId="0" fontId="11" fillId="9" borderId="1" xfId="0" applyFont="1" applyFill="1" applyBorder="1" applyAlignment="1">
      <alignment horizontal="center"/>
    </xf>
    <xf numFmtId="0" fontId="0" fillId="0" borderId="1" xfId="0" applyBorder="1" applyProtection="1">
      <protection locked="0"/>
    </xf>
    <xf numFmtId="14" fontId="13" fillId="0" borderId="1" xfId="0" applyNumberFormat="1" applyFont="1" applyBorder="1"/>
    <xf numFmtId="0" fontId="1" fillId="0" borderId="1" xfId="0" applyFont="1" applyBorder="1" applyAlignment="1">
      <alignment wrapText="1"/>
    </xf>
    <xf numFmtId="0" fontId="13" fillId="0" borderId="1" xfId="0" applyFont="1" applyBorder="1" applyAlignment="1">
      <alignment horizontal="left"/>
    </xf>
    <xf numFmtId="14" fontId="13" fillId="0" borderId="1" xfId="0" applyNumberFormat="1" applyFont="1" applyBorder="1" applyAlignment="1">
      <alignment horizontal="left"/>
    </xf>
    <xf numFmtId="169" fontId="0" fillId="0" borderId="0" xfId="0" applyNumberFormat="1" applyAlignment="1">
      <alignment vertical="center"/>
    </xf>
    <xf numFmtId="0" fontId="0" fillId="0" borderId="0" xfId="0" applyNumberFormat="1"/>
  </cellXfs>
  <cellStyles count="3">
    <cellStyle name="Currency" xfId="2" builtinId="4"/>
    <cellStyle name="Normal" xfId="0" builtinId="0"/>
    <cellStyle name="Normal 2" xfId="1" xr:uid="{9EC0797D-27A1-49D6-A2C5-FB550E71848B}"/>
  </cellStyles>
  <dxfs count="74">
    <dxf>
      <numFmt numFmtId="169" formatCode="&quot;$&quot;#,##0.00"/>
      <alignment horizontal="general" vertical="center" textRotation="0" wrapText="0" indent="0" justifyLastLine="0" shrinkToFit="0" readingOrder="0"/>
      <protection locked="1" hidden="0"/>
    </dxf>
    <dxf>
      <numFmt numFmtId="169" formatCode="&quot;$&quot;#,##0.00"/>
      <alignment horizontal="general" vertical="center" textRotation="0" wrapText="0" indent="0" justifyLastLine="0" shrinkToFit="0" readingOrder="0"/>
      <protection locked="1" hidden="0"/>
    </dxf>
    <dxf>
      <font>
        <color rgb="FF006100"/>
      </font>
      <fill>
        <patternFill>
          <bgColor rgb="FFC6EFCE"/>
        </patternFill>
      </fill>
    </dxf>
    <dxf>
      <font>
        <color rgb="FF006100"/>
      </font>
      <fill>
        <patternFill>
          <bgColor rgb="FFC6EFCE"/>
        </patternFill>
      </fill>
    </dxf>
    <dxf>
      <fill>
        <patternFill>
          <bgColor rgb="FFFFC8DA"/>
        </patternFill>
      </fill>
    </dxf>
    <dxf>
      <fill>
        <patternFill>
          <bgColor rgb="FFB9FFA6"/>
        </patternFill>
      </fill>
    </dxf>
    <dxf>
      <border diagonalUp="0" diagonalDown="0" outline="0">
        <left style="thin">
          <color indexed="64"/>
        </left>
        <right style="thin">
          <color indexed="64"/>
        </right>
        <top style="thin">
          <color indexed="64"/>
        </top>
        <bottom style="thin">
          <color indexed="64"/>
        </bottom>
      </border>
      <protection locked="0" hidden="0"/>
    </dxf>
    <dxf>
      <numFmt numFmtId="0" formatCode="Genera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0000"/>
        <name val="Calibri"/>
        <family val="2"/>
        <scheme val="minor"/>
      </font>
      <border diagonalUp="0" diagonalDown="0" outline="0">
        <left style="thin">
          <color indexed="64"/>
        </left>
        <right style="thin">
          <color indexed="64"/>
        </right>
        <top style="thin">
          <color indexed="64"/>
        </top>
        <bottom style="thin">
          <color indexed="64"/>
        </bottom>
      </border>
    </dxf>
    <dxf>
      <numFmt numFmtId="1" formatCode="0"/>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border diagonalUp="0" diagonalDown="0" outline="0">
        <left style="thin">
          <color indexed="64"/>
        </left>
        <right/>
        <top style="thin">
          <color indexed="64"/>
        </top>
        <bottom style="thin">
          <color indexed="64"/>
        </bottom>
      </border>
    </dxf>
    <dxf>
      <numFmt numFmtId="30" formatCode="@"/>
      <border diagonalUp="0" diagonalDown="0" outline="0">
        <left/>
        <right style="thin">
          <color indexed="64"/>
        </right>
        <top style="thin">
          <color indexed="64"/>
        </top>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1"/>
        <color rgb="FF000000"/>
        <name val="Calibri"/>
        <family val="2"/>
        <scheme val="minor"/>
      </font>
      <border diagonalUp="0" diagonalDown="0">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bottom/>
        <vertical style="thin">
          <color indexed="64"/>
        </vertical>
        <horizontal style="thin">
          <color indexed="64"/>
        </horizontal>
      </border>
    </dxf>
    <dxf>
      <border diagonalUp="0" diagonalDown="0" outline="0">
        <left style="thin">
          <color indexed="64"/>
        </left>
        <right/>
        <top style="thin">
          <color indexed="64"/>
        </top>
        <bottom style="thin">
          <color indexed="64"/>
        </bottom>
      </border>
    </dxf>
    <dxf>
      <numFmt numFmtId="1" formatCode="0"/>
      <border diagonalUp="0" diagonalDown="0" outline="0">
        <left style="thin">
          <color indexed="64"/>
        </left>
        <right style="thin">
          <color indexed="64"/>
        </right>
        <top style="thin">
          <color indexed="64"/>
        </top>
        <bottom style="thin">
          <color indexed="64"/>
        </bottom>
      </border>
    </dxf>
    <dxf>
      <numFmt numFmtId="30" formatCode="@"/>
      <border diagonalUp="0" diagonalDown="0" outline="0">
        <left/>
        <right style="thin">
          <color indexed="64"/>
        </right>
        <top style="thin">
          <color indexed="64"/>
        </top>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numFmt numFmtId="0" formatCode="General"/>
      <border diagonalUp="0" diagonalDown="0">
        <left style="thin">
          <color indexed="64"/>
        </left>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rgb="FF000000"/>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rgb="FF000000"/>
        <name val="Calibri"/>
        <family val="2"/>
        <scheme val="minor"/>
      </font>
      <border diagonalUp="0" diagonalDown="0">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top style="thin">
          <color indexed="64"/>
        </top>
        <bottom style="thin">
          <color indexed="64"/>
        </bottom>
        <vertical style="thin">
          <color indexed="64"/>
        </vertical>
        <horizontal style="thin">
          <color indexed="64"/>
        </horizontal>
      </border>
    </dxf>
    <dxf>
      <numFmt numFmtId="30" formatCode="@"/>
      <border diagonalUp="0" diagonalDown="0">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bottom/>
        <vertical style="thin">
          <color indexed="64"/>
        </vertical>
        <horizontal style="thin">
          <color indexed="64"/>
        </horizontal>
      </border>
    </dxf>
    <dxf>
      <numFmt numFmtId="0" formatCode="General"/>
      <border diagonalUp="0" diagonalDown="0">
        <left style="thin">
          <color indexed="64"/>
        </left>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rgb="FF000000"/>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rgb="FF000000"/>
        <name val="Calibri"/>
        <family val="2"/>
        <scheme val="minor"/>
      </font>
      <border diagonalUp="0" diagonalDown="0">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1"/>
        <color theme="0"/>
        <name val="Calibri"/>
        <family val="2"/>
        <scheme val="minor"/>
      </font>
      <numFmt numFmtId="0" formatCode="General"/>
      <fill>
        <patternFill patternType="solid">
          <fgColor indexed="64"/>
          <bgColor rgb="FF4F81BD"/>
        </patternFill>
      </fil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0"/>
        <name val="Calibri"/>
        <family val="2"/>
        <scheme val="minor"/>
      </font>
      <numFmt numFmtId="0" formatCode="General"/>
      <fill>
        <patternFill patternType="solid">
          <fgColor indexed="64"/>
          <bgColor rgb="FF4F81BD"/>
        </patternFill>
      </fil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0"/>
        <name val="Calibri"/>
        <family val="2"/>
        <scheme val="minor"/>
      </font>
      <numFmt numFmtId="0" formatCode="General"/>
      <fill>
        <patternFill patternType="solid">
          <fgColor indexed="64"/>
          <bgColor rgb="FF4F81BD"/>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0"/>
        <name val="Calibri"/>
        <family val="2"/>
        <scheme val="minor"/>
      </font>
      <fill>
        <patternFill patternType="solid">
          <fgColor indexed="64"/>
          <bgColor rgb="FF4F81BD"/>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0000"/>
        <name val="Calibri"/>
        <family val="2"/>
        <scheme val="minor"/>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0000"/>
        <name val="Calibri"/>
        <family val="2"/>
        <scheme val="minor"/>
      </font>
      <fill>
        <patternFill patternType="solid">
          <fgColor indexed="64"/>
          <bgColor rgb="FF4F81BD"/>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0000"/>
        <name val="Calibri"/>
        <family val="2"/>
        <scheme val="minor"/>
      </font>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style="thin">
          <color indexed="64"/>
        </right>
        <top/>
        <bottom/>
        <vertical style="thin">
          <color indexed="64"/>
        </vertical>
        <horizontal style="thin">
          <color indexed="64"/>
        </horizontal>
      </border>
    </dxf>
    <dxf>
      <numFmt numFmtId="164" formatCode="[$-409]mmmm\ d\,\ yyyy;@"/>
    </dxf>
    <dxf>
      <numFmt numFmtId="164" formatCode="[$-409]mmmm\ d\,\ yyyy;@"/>
    </dxf>
    <dxf>
      <numFmt numFmtId="4" formatCode="#,##0.00"/>
      <alignment horizontal="general" vertical="center" textRotation="0" wrapText="0" indent="0" justifyLastLine="0" shrinkToFit="0" readingOrder="0"/>
      <protection locked="1" hidden="0"/>
    </dxf>
    <dxf>
      <font>
        <b/>
        <i val="0"/>
        <strike val="0"/>
        <condense val="0"/>
        <extend val="0"/>
        <outline val="0"/>
        <shadow val="0"/>
        <u val="none"/>
        <vertAlign val="baseline"/>
        <sz val="11"/>
        <color theme="1"/>
        <name val="Calibri"/>
        <family val="1"/>
        <charset val="136"/>
        <scheme val="minor"/>
      </font>
    </dxf>
    <dxf>
      <numFmt numFmtId="164" formatCode="[$-409]mmmm\ d\,\ yyyy;@"/>
    </dxf>
    <dxf>
      <numFmt numFmtId="164" formatCode="[$-409]mmmm\ d\,\ yyyy;@"/>
    </dxf>
    <dxf>
      <numFmt numFmtId="4" formatCode="#,##0.00"/>
      <alignment horizontal="general" vertical="center" textRotation="0" wrapText="0" indent="0" justifyLastLine="0" shrinkToFit="0" readingOrder="0"/>
      <protection locked="1" hidden="0"/>
    </dxf>
    <dxf>
      <font>
        <b/>
        <i val="0"/>
        <strike val="0"/>
        <condense val="0"/>
        <extend val="0"/>
        <outline val="0"/>
        <shadow val="0"/>
        <u val="none"/>
        <vertAlign val="baseline"/>
        <sz val="11"/>
        <color theme="1"/>
        <name val="Calibri"/>
        <family val="1"/>
        <charset val="136"/>
        <scheme val="minor"/>
      </font>
    </dxf>
    <dxf>
      <numFmt numFmtId="34" formatCode="_(&quot;$&quot;* #,##0.00_);_(&quot;$&quot;* \(#,##0.00\);_(&quot;$&quot;* &quot;-&quot;??_);_(@_)"/>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4" formatCode="_(&quot;$&quot;* #,##0.00_);_(&quot;$&quot;* \(#,##0.00\);_(&quot;$&quot;* &quot;-&quot;??_);_(@_)"/>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4" formatCode="_(&quot;$&quot;* #,##0.00_);_(&quot;$&quot;* \(#,##0.00\);_(&quot;$&quot;* &quot;-&quot;??_);_(@_)"/>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0000"/>
        <name val="Calibri"/>
        <family val="2"/>
        <scheme val="minor"/>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0000"/>
        <name val="Calibri"/>
        <family val="2"/>
        <scheme val="minor"/>
      </font>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left style="thin">
          <color indexed="64"/>
        </left>
        <right style="thin">
          <color indexed="64"/>
        </right>
        <top/>
        <bottom/>
      </border>
      <protection locked="0" hidden="0"/>
    </dxf>
    <dxf>
      <numFmt numFmtId="34" formatCode="_(&quot;$&quot;* #,##0.00_);_(&quot;$&quot;* \(#,##0.00\);_(&quot;$&quot;* &quot;-&quot;??_);_(@_)"/>
      <border diagonalUp="0" diagonalDown="0" outline="0">
        <left style="thin">
          <color indexed="64"/>
        </left>
        <right style="thin">
          <color indexed="64"/>
        </right>
        <top style="thin">
          <color indexed="64"/>
        </top>
        <bottom style="thin">
          <color indexed="64"/>
        </bottom>
      </border>
    </dxf>
    <dxf>
      <numFmt numFmtId="34" formatCode="_(&quot;$&quot;* #,##0.00_);_(&quot;$&quot;* \(#,##0.00\);_(&quot;$&quot;* &quot;-&quot;??_);_(@_)"/>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0000"/>
        <name val="Calibri"/>
        <family val="2"/>
        <scheme val="minor"/>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0000"/>
        <name val="Calibri"/>
        <family val="2"/>
        <scheme val="minor"/>
      </font>
      <border diagonalUp="0" diagonalDown="0">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bottom/>
        <vertical style="thin">
          <color indexed="64"/>
        </vertical>
        <horizontal style="thin">
          <color indexed="64"/>
        </horizontal>
      </border>
      <protection locked="1" hidden="0"/>
    </dxf>
    <dxf>
      <numFmt numFmtId="0" formatCode="General"/>
    </dxf>
    <dxf>
      <numFmt numFmtId="164" formatCode="[$-409]mmmm\ d\,\ yyyy;@"/>
    </dxf>
    <dxf>
      <numFmt numFmtId="4" formatCode="#,##0.00"/>
      <alignment horizontal="general" vertical="center" textRotation="0" wrapText="0" indent="0" justifyLastLine="0" shrinkToFit="0" readingOrder="0"/>
      <protection locked="1" hidden="0"/>
    </dxf>
    <dxf>
      <numFmt numFmtId="4" formatCode="#,##0.00"/>
      <alignment horizontal="general" vertical="center" textRotation="0" wrapText="0" indent="0" justifyLastLine="0" shrinkToFit="0" readingOrder="0"/>
      <protection locked="1" hidden="0"/>
    </dxf>
    <dxf>
      <font>
        <b/>
        <i val="0"/>
        <strike val="0"/>
        <condense val="0"/>
        <extend val="0"/>
        <outline val="0"/>
        <shadow val="0"/>
        <u val="none"/>
        <vertAlign val="baseline"/>
        <sz val="11"/>
        <color theme="1"/>
        <name val="Calibri"/>
        <family val="1"/>
        <charset val="136"/>
        <scheme val="minor"/>
      </font>
    </dxf>
  </dxfs>
  <tableStyles count="0" defaultTableStyle="TableStyleMedium9" defaultPivotStyle="PivotStyleLight16"/>
  <colors>
    <mruColors>
      <color rgb="FFB9FFA6"/>
      <color rgb="FF4F81BD"/>
      <color rgb="FFFFC8DA"/>
      <color rgb="FFFFC4F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chartsheet" Target="chartsheets/sheet1.xml"/><Relationship Id="rId17" Type="http://schemas.microsoft.com/office/2007/relationships/slicerCache" Target="slicerCaches/slicerCache3.xml"/><Relationship Id="rId2" Type="http://schemas.openxmlformats.org/officeDocument/2006/relationships/worksheet" Target="worksheets/sheet2.xml"/><Relationship Id="rId16" Type="http://schemas.microsoft.com/office/2007/relationships/slicerCache" Target="slicerCaches/slicerCache2.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Dress rental</a:t>
            </a:r>
            <a:r>
              <a:rPr lang="en-GB" baseline="0"/>
              <a:t> by Designer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No. Rentals</c:v>
          </c:tx>
          <c:spPr>
            <a:solidFill>
              <a:schemeClr val="accent1"/>
            </a:solidFill>
            <a:ln>
              <a:noFill/>
            </a:ln>
            <a:effectLst/>
          </c:spPr>
          <c:invertIfNegative val="0"/>
          <c:cat>
            <c:strRef>
              <c:f>'4.1 Charts and Data'!$A$1:$A$21</c:f>
              <c:strCache>
                <c:ptCount val="21"/>
                <c:pt idx="0">
                  <c:v>Designer</c:v>
                </c:pt>
                <c:pt idx="1">
                  <c:v>Giorgio Armani</c:v>
                </c:pt>
                <c:pt idx="2">
                  <c:v>Vera Wang</c:v>
                </c:pt>
                <c:pt idx="3">
                  <c:v>Kate Spade</c:v>
                </c:pt>
                <c:pt idx="4">
                  <c:v>Pnina Tornai</c:v>
                </c:pt>
                <c:pt idx="5">
                  <c:v>Galia Lahav</c:v>
                </c:pt>
                <c:pt idx="6">
                  <c:v>Anna Campbell</c:v>
                </c:pt>
                <c:pt idx="7">
                  <c:v>Tracy Reese</c:v>
                </c:pt>
                <c:pt idx="8">
                  <c:v>Shoshanna</c:v>
                </c:pt>
                <c:pt idx="9">
                  <c:v>RVN</c:v>
                </c:pt>
                <c:pt idx="10">
                  <c:v>Herve Leger</c:v>
                </c:pt>
                <c:pt idx="11">
                  <c:v>Halston</c:v>
                </c:pt>
                <c:pt idx="12">
                  <c:v>Elie Tahari</c:v>
                </c:pt>
                <c:pt idx="13">
                  <c:v>Diane von Furstenberg</c:v>
                </c:pt>
                <c:pt idx="14">
                  <c:v>Donna Karan</c:v>
                </c:pt>
                <c:pt idx="15">
                  <c:v>Calvin Klein</c:v>
                </c:pt>
                <c:pt idx="16">
                  <c:v>Vera Wang</c:v>
                </c:pt>
                <c:pt idx="17">
                  <c:v>Kate Spade</c:v>
                </c:pt>
                <c:pt idx="18">
                  <c:v>Elie Tahari</c:v>
                </c:pt>
                <c:pt idx="19">
                  <c:v>Calvin Klein</c:v>
                </c:pt>
                <c:pt idx="20">
                  <c:v>Halston</c:v>
                </c:pt>
              </c:strCache>
            </c:strRef>
          </c:cat>
          <c:val>
            <c:numRef>
              <c:f>'4.1 Charts and Data'!$C$1:$C$21</c:f>
              <c:numCache>
                <c:formatCode>General</c:formatCode>
                <c:ptCount val="21"/>
                <c:pt idx="0">
                  <c:v>0</c:v>
                </c:pt>
                <c:pt idx="1">
                  <c:v>4</c:v>
                </c:pt>
                <c:pt idx="2">
                  <c:v>3</c:v>
                </c:pt>
                <c:pt idx="3">
                  <c:v>6</c:v>
                </c:pt>
                <c:pt idx="4">
                  <c:v>6</c:v>
                </c:pt>
                <c:pt idx="5">
                  <c:v>7</c:v>
                </c:pt>
                <c:pt idx="6">
                  <c:v>5</c:v>
                </c:pt>
                <c:pt idx="7">
                  <c:v>7</c:v>
                </c:pt>
                <c:pt idx="8">
                  <c:v>8</c:v>
                </c:pt>
                <c:pt idx="9">
                  <c:v>5</c:v>
                </c:pt>
                <c:pt idx="10">
                  <c:v>5</c:v>
                </c:pt>
                <c:pt idx="11">
                  <c:v>6</c:v>
                </c:pt>
                <c:pt idx="12">
                  <c:v>3</c:v>
                </c:pt>
                <c:pt idx="13">
                  <c:v>3</c:v>
                </c:pt>
                <c:pt idx="14">
                  <c:v>3</c:v>
                </c:pt>
                <c:pt idx="15">
                  <c:v>3</c:v>
                </c:pt>
                <c:pt idx="16">
                  <c:v>5</c:v>
                </c:pt>
                <c:pt idx="17">
                  <c:v>7</c:v>
                </c:pt>
                <c:pt idx="18">
                  <c:v>5</c:v>
                </c:pt>
                <c:pt idx="19">
                  <c:v>5</c:v>
                </c:pt>
                <c:pt idx="20">
                  <c:v>4</c:v>
                </c:pt>
              </c:numCache>
            </c:numRef>
          </c:val>
          <c:extLst>
            <c:ext xmlns:c16="http://schemas.microsoft.com/office/drawing/2014/chart" uri="{C3380CC4-5D6E-409C-BE32-E72D297353CC}">
              <c16:uniqueId val="{00000017-341F-034D-99EA-80728F1156AC}"/>
            </c:ext>
          </c:extLst>
        </c:ser>
        <c:dLbls>
          <c:showLegendKey val="0"/>
          <c:showVal val="0"/>
          <c:showCatName val="0"/>
          <c:showSerName val="0"/>
          <c:showPercent val="0"/>
          <c:showBubbleSize val="0"/>
        </c:dLbls>
        <c:gapWidth val="219"/>
        <c:overlap val="-27"/>
        <c:axId val="83051551"/>
        <c:axId val="83252607"/>
      </c:barChart>
      <c:catAx>
        <c:axId val="830515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52607"/>
        <c:crosses val="autoZero"/>
        <c:auto val="1"/>
        <c:lblAlgn val="ctr"/>
        <c:lblOffset val="100"/>
        <c:noMultiLvlLbl val="1"/>
      </c:catAx>
      <c:valAx>
        <c:axId val="8325260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5155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Number of</a:t>
            </a:r>
            <a:r>
              <a:rPr lang="en-GB" baseline="0"/>
              <a:t> rented dresses from 2021-22</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strRef>
              <c:f>'4.1 Charts and Data'!$D$1</c:f>
              <c:strCache>
                <c:ptCount val="1"/>
                <c:pt idx="0">
                  <c:v>Rentals in 2021</c:v>
                </c:pt>
              </c:strCache>
            </c:strRef>
          </c:tx>
          <c:spPr>
            <a:solidFill>
              <a:schemeClr val="accent4"/>
            </a:solidFill>
            <a:ln>
              <a:noFill/>
            </a:ln>
            <a:effectLst/>
          </c:spPr>
          <c:invertIfNegative val="0"/>
          <c:cat>
            <c:strRef>
              <c:f>'4.1 Charts and Data'!$B$2:$B$21</c:f>
              <c:strCache>
                <c:ptCount val="20"/>
                <c:pt idx="0">
                  <c:v>Rainbow</c:v>
                </c:pt>
                <c:pt idx="1">
                  <c:v>Paisley Lace</c:v>
                </c:pt>
                <c:pt idx="2">
                  <c:v>Circles of Ruffles</c:v>
                </c:pt>
                <c:pt idx="3">
                  <c:v>P by Pnina</c:v>
                </c:pt>
                <c:pt idx="4">
                  <c:v>bridal couture</c:v>
                </c:pt>
                <c:pt idx="5">
                  <c:v>Lovely and feminine</c:v>
                </c:pt>
                <c:pt idx="6">
                  <c:v>Graceful</c:v>
                </c:pt>
                <c:pt idx="7">
                  <c:v>Orchid</c:v>
                </c:pt>
                <c:pt idx="8">
                  <c:v>Fern</c:v>
                </c:pt>
                <c:pt idx="9">
                  <c:v>Pebbles</c:v>
                </c:pt>
                <c:pt idx="10">
                  <c:v>Perfect Wave</c:v>
                </c:pt>
                <c:pt idx="11">
                  <c:v>Wheatly</c:v>
                </c:pt>
                <c:pt idx="12">
                  <c:v>Preen Press</c:v>
                </c:pt>
                <c:pt idx="13">
                  <c:v>Plain Sheath</c:v>
                </c:pt>
                <c:pt idx="14">
                  <c:v>Wow</c:v>
                </c:pt>
                <c:pt idx="15">
                  <c:v>Shortcake Dress</c:v>
                </c:pt>
                <c:pt idx="16">
                  <c:v>Flower Blossom</c:v>
                </c:pt>
                <c:pt idx="17">
                  <c:v>Seeds and Fruits</c:v>
                </c:pt>
                <c:pt idx="18">
                  <c:v>Vixen</c:v>
                </c:pt>
                <c:pt idx="19">
                  <c:v>Shoulder Dress</c:v>
                </c:pt>
              </c:strCache>
            </c:strRef>
          </c:cat>
          <c:val>
            <c:numRef>
              <c:f>'4.1 Charts and Data'!$D$2:$D$21</c:f>
              <c:numCache>
                <c:formatCode>General</c:formatCode>
                <c:ptCount val="20"/>
                <c:pt idx="0">
                  <c:v>2</c:v>
                </c:pt>
                <c:pt idx="1">
                  <c:v>1</c:v>
                </c:pt>
                <c:pt idx="2">
                  <c:v>5</c:v>
                </c:pt>
                <c:pt idx="3">
                  <c:v>2</c:v>
                </c:pt>
                <c:pt idx="4">
                  <c:v>4</c:v>
                </c:pt>
                <c:pt idx="5">
                  <c:v>4</c:v>
                </c:pt>
                <c:pt idx="6">
                  <c:v>6</c:v>
                </c:pt>
                <c:pt idx="7">
                  <c:v>4</c:v>
                </c:pt>
                <c:pt idx="8">
                  <c:v>2</c:v>
                </c:pt>
                <c:pt idx="9">
                  <c:v>4</c:v>
                </c:pt>
                <c:pt idx="10">
                  <c:v>2</c:v>
                </c:pt>
                <c:pt idx="11">
                  <c:v>3</c:v>
                </c:pt>
                <c:pt idx="12">
                  <c:v>3</c:v>
                </c:pt>
                <c:pt idx="13">
                  <c:v>3</c:v>
                </c:pt>
                <c:pt idx="14">
                  <c:v>2</c:v>
                </c:pt>
                <c:pt idx="15">
                  <c:v>2</c:v>
                </c:pt>
                <c:pt idx="16">
                  <c:v>4</c:v>
                </c:pt>
                <c:pt idx="17">
                  <c:v>5</c:v>
                </c:pt>
                <c:pt idx="18">
                  <c:v>3</c:v>
                </c:pt>
                <c:pt idx="19">
                  <c:v>3</c:v>
                </c:pt>
              </c:numCache>
            </c:numRef>
          </c:val>
          <c:extLst>
            <c:ext xmlns:c16="http://schemas.microsoft.com/office/drawing/2014/chart" uri="{C3380CC4-5D6E-409C-BE32-E72D297353CC}">
              <c16:uniqueId val="{00000001-4B7D-C546-950E-59A2C2E31D41}"/>
            </c:ext>
          </c:extLst>
        </c:ser>
        <c:ser>
          <c:idx val="2"/>
          <c:order val="1"/>
          <c:tx>
            <c:strRef>
              <c:f>'4.1 Charts and Data'!$E$1</c:f>
              <c:strCache>
                <c:ptCount val="1"/>
                <c:pt idx="0">
                  <c:v>Rentals in 2022</c:v>
                </c:pt>
              </c:strCache>
            </c:strRef>
          </c:tx>
          <c:spPr>
            <a:solidFill>
              <a:schemeClr val="accent6"/>
            </a:solidFill>
            <a:ln>
              <a:noFill/>
            </a:ln>
            <a:effectLst/>
          </c:spPr>
          <c:invertIfNegative val="0"/>
          <c:cat>
            <c:strRef>
              <c:f>'4.1 Charts and Data'!$B$2:$B$21</c:f>
              <c:strCache>
                <c:ptCount val="20"/>
                <c:pt idx="0">
                  <c:v>Rainbow</c:v>
                </c:pt>
                <c:pt idx="1">
                  <c:v>Paisley Lace</c:v>
                </c:pt>
                <c:pt idx="2">
                  <c:v>Circles of Ruffles</c:v>
                </c:pt>
                <c:pt idx="3">
                  <c:v>P by Pnina</c:v>
                </c:pt>
                <c:pt idx="4">
                  <c:v>bridal couture</c:v>
                </c:pt>
                <c:pt idx="5">
                  <c:v>Lovely and feminine</c:v>
                </c:pt>
                <c:pt idx="6">
                  <c:v>Graceful</c:v>
                </c:pt>
                <c:pt idx="7">
                  <c:v>Orchid</c:v>
                </c:pt>
                <c:pt idx="8">
                  <c:v>Fern</c:v>
                </c:pt>
                <c:pt idx="9">
                  <c:v>Pebbles</c:v>
                </c:pt>
                <c:pt idx="10">
                  <c:v>Perfect Wave</c:v>
                </c:pt>
                <c:pt idx="11">
                  <c:v>Wheatly</c:v>
                </c:pt>
                <c:pt idx="12">
                  <c:v>Preen Press</c:v>
                </c:pt>
                <c:pt idx="13">
                  <c:v>Plain Sheath</c:v>
                </c:pt>
                <c:pt idx="14">
                  <c:v>Wow</c:v>
                </c:pt>
                <c:pt idx="15">
                  <c:v>Shortcake Dress</c:v>
                </c:pt>
                <c:pt idx="16">
                  <c:v>Flower Blossom</c:v>
                </c:pt>
                <c:pt idx="17">
                  <c:v>Seeds and Fruits</c:v>
                </c:pt>
                <c:pt idx="18">
                  <c:v>Vixen</c:v>
                </c:pt>
                <c:pt idx="19">
                  <c:v>Shoulder Dress</c:v>
                </c:pt>
              </c:strCache>
            </c:strRef>
          </c:cat>
          <c:val>
            <c:numRef>
              <c:f>'4.1 Charts and Data'!$E$2:$E$21</c:f>
              <c:numCache>
                <c:formatCode>General</c:formatCode>
                <c:ptCount val="20"/>
                <c:pt idx="0">
                  <c:v>2</c:v>
                </c:pt>
                <c:pt idx="1">
                  <c:v>2</c:v>
                </c:pt>
                <c:pt idx="2">
                  <c:v>1</c:v>
                </c:pt>
                <c:pt idx="3">
                  <c:v>4</c:v>
                </c:pt>
                <c:pt idx="4">
                  <c:v>3</c:v>
                </c:pt>
                <c:pt idx="5">
                  <c:v>1</c:v>
                </c:pt>
                <c:pt idx="6">
                  <c:v>1</c:v>
                </c:pt>
                <c:pt idx="7">
                  <c:v>4</c:v>
                </c:pt>
                <c:pt idx="8">
                  <c:v>3</c:v>
                </c:pt>
                <c:pt idx="9">
                  <c:v>1</c:v>
                </c:pt>
                <c:pt idx="10">
                  <c:v>4</c:v>
                </c:pt>
                <c:pt idx="11">
                  <c:v>0</c:v>
                </c:pt>
                <c:pt idx="12">
                  <c:v>0</c:v>
                </c:pt>
                <c:pt idx="13">
                  <c:v>0</c:v>
                </c:pt>
                <c:pt idx="14">
                  <c:v>1</c:v>
                </c:pt>
                <c:pt idx="15">
                  <c:v>3</c:v>
                </c:pt>
                <c:pt idx="16">
                  <c:v>3</c:v>
                </c:pt>
                <c:pt idx="17">
                  <c:v>0</c:v>
                </c:pt>
                <c:pt idx="18">
                  <c:v>2</c:v>
                </c:pt>
                <c:pt idx="19">
                  <c:v>1</c:v>
                </c:pt>
              </c:numCache>
            </c:numRef>
          </c:val>
          <c:extLst>
            <c:ext xmlns:c16="http://schemas.microsoft.com/office/drawing/2014/chart" uri="{C3380CC4-5D6E-409C-BE32-E72D297353CC}">
              <c16:uniqueId val="{00000002-4B7D-C546-950E-59A2C2E31D41}"/>
            </c:ext>
          </c:extLst>
        </c:ser>
        <c:dLbls>
          <c:showLegendKey val="0"/>
          <c:showVal val="0"/>
          <c:showCatName val="0"/>
          <c:showSerName val="0"/>
          <c:showPercent val="0"/>
          <c:showBubbleSize val="0"/>
        </c:dLbls>
        <c:gapWidth val="182"/>
        <c:axId val="1053392751"/>
        <c:axId val="1053394399"/>
      </c:barChart>
      <c:catAx>
        <c:axId val="1053392751"/>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Rented Dress</a:t>
                </a:r>
                <a:r>
                  <a:rPr lang="en-GB" baseline="0"/>
                  <a:t> names </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3394399"/>
        <c:crosses val="autoZero"/>
        <c:auto val="1"/>
        <c:lblAlgn val="ctr"/>
        <c:lblOffset val="100"/>
        <c:noMultiLvlLbl val="0"/>
      </c:catAx>
      <c:valAx>
        <c:axId val="1053394399"/>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Tota</a:t>
                </a:r>
                <a:r>
                  <a:rPr lang="en-GB" baseline="0"/>
                  <a:t>l dress rented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339275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[NGOC HAN LUU | FIT1013 A1_2022 Data(AutoRecovered)(AutoRecovered).xlsm]4.2 Piv Table!PivotTable3</c:name>
    <c:fmtId val="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'4.2 Piv Table'!$B$2</c:f>
              <c:strCache>
                <c:ptCount val="1"/>
                <c:pt idx="0">
                  <c:v>Sum of Rentals in 2021</c:v>
                </c:pt>
              </c:strCache>
            </c:strRef>
          </c:tx>
          <c:spPr>
            <a:solidFill>
              <a:schemeClr val="accent1"/>
            </a:solidFill>
            <a:ln>
              <a:noFill/>
            </a:ln>
            <a:effectLst/>
          </c:spPr>
          <c:invertIfNegative val="0"/>
          <c:cat>
            <c:multiLvlStrRef>
              <c:f>'4.2 Piv Table'!$A$3:$A$38</c:f>
              <c:multiLvlStrCache>
                <c:ptCount val="20"/>
                <c:lvl>
                  <c:pt idx="0">
                    <c:v>Lovely and feminine</c:v>
                  </c:pt>
                  <c:pt idx="1">
                    <c:v>Vixen</c:v>
                  </c:pt>
                  <c:pt idx="2">
                    <c:v>Wow</c:v>
                  </c:pt>
                  <c:pt idx="3">
                    <c:v>Preen Press</c:v>
                  </c:pt>
                  <c:pt idx="4">
                    <c:v>Plain Sheath</c:v>
                  </c:pt>
                  <c:pt idx="5">
                    <c:v>Seeds and Fruits</c:v>
                  </c:pt>
                  <c:pt idx="6">
                    <c:v>Wheatly</c:v>
                  </c:pt>
                  <c:pt idx="7">
                    <c:v>bridal couture</c:v>
                  </c:pt>
                  <c:pt idx="8">
                    <c:v>Rainbow</c:v>
                  </c:pt>
                  <c:pt idx="9">
                    <c:v>Perfect Wave</c:v>
                  </c:pt>
                  <c:pt idx="10">
                    <c:v>Shoulder Dress</c:v>
                  </c:pt>
                  <c:pt idx="11">
                    <c:v>Pebbles</c:v>
                  </c:pt>
                  <c:pt idx="12">
                    <c:v>Circles of Ruffles</c:v>
                  </c:pt>
                  <c:pt idx="13">
                    <c:v>Flower Blossom</c:v>
                  </c:pt>
                  <c:pt idx="14">
                    <c:v>P by Pnina</c:v>
                  </c:pt>
                  <c:pt idx="15">
                    <c:v>Fern</c:v>
                  </c:pt>
                  <c:pt idx="16">
                    <c:v>Orchid</c:v>
                  </c:pt>
                  <c:pt idx="17">
                    <c:v>Graceful</c:v>
                  </c:pt>
                  <c:pt idx="18">
                    <c:v>Paisley Lace</c:v>
                  </c:pt>
                  <c:pt idx="19">
                    <c:v>Shortcake Dress</c:v>
                  </c:pt>
                </c:lvl>
                <c:lvl>
                  <c:pt idx="0">
                    <c:v>Anna Campbell</c:v>
                  </c:pt>
                  <c:pt idx="1">
                    <c:v>Calvin Klein</c:v>
                  </c:pt>
                  <c:pt idx="3">
                    <c:v>Diane von Furstenberg</c:v>
                  </c:pt>
                  <c:pt idx="4">
                    <c:v>Donna Karan</c:v>
                  </c:pt>
                  <c:pt idx="5">
                    <c:v>Elie Tahari</c:v>
                  </c:pt>
                  <c:pt idx="7">
                    <c:v>Galia Lahav</c:v>
                  </c:pt>
                  <c:pt idx="8">
                    <c:v>Giorgio Armani</c:v>
                  </c:pt>
                  <c:pt idx="9">
                    <c:v>Halston</c:v>
                  </c:pt>
                  <c:pt idx="11">
                    <c:v>Herve Leger</c:v>
                  </c:pt>
                  <c:pt idx="12">
                    <c:v>Kate Spade</c:v>
                  </c:pt>
                  <c:pt idx="14">
                    <c:v>Pnina Tornai</c:v>
                  </c:pt>
                  <c:pt idx="15">
                    <c:v>RVN</c:v>
                  </c:pt>
                  <c:pt idx="16">
                    <c:v>Shoshanna</c:v>
                  </c:pt>
                  <c:pt idx="17">
                    <c:v>Tracy Reese</c:v>
                  </c:pt>
                  <c:pt idx="18">
                    <c:v>Vera Wang</c:v>
                  </c:pt>
                </c:lvl>
              </c:multiLvlStrCache>
            </c:multiLvlStrRef>
          </c:cat>
          <c:val>
            <c:numRef>
              <c:f>'4.2 Piv Table'!$B$3:$B$38</c:f>
              <c:numCache>
                <c:formatCode>General</c:formatCode>
                <c:ptCount val="20"/>
                <c:pt idx="0">
                  <c:v>4</c:v>
                </c:pt>
                <c:pt idx="1">
                  <c:v>3</c:v>
                </c:pt>
                <c:pt idx="2">
                  <c:v>2</c:v>
                </c:pt>
                <c:pt idx="3">
                  <c:v>3</c:v>
                </c:pt>
                <c:pt idx="4">
                  <c:v>3</c:v>
                </c:pt>
                <c:pt idx="5">
                  <c:v>5</c:v>
                </c:pt>
                <c:pt idx="6">
                  <c:v>3</c:v>
                </c:pt>
                <c:pt idx="7">
                  <c:v>4</c:v>
                </c:pt>
                <c:pt idx="8">
                  <c:v>2</c:v>
                </c:pt>
                <c:pt idx="9">
                  <c:v>2</c:v>
                </c:pt>
                <c:pt idx="10">
                  <c:v>3</c:v>
                </c:pt>
                <c:pt idx="11">
                  <c:v>4</c:v>
                </c:pt>
                <c:pt idx="12">
                  <c:v>5</c:v>
                </c:pt>
                <c:pt idx="13">
                  <c:v>4</c:v>
                </c:pt>
                <c:pt idx="14">
                  <c:v>2</c:v>
                </c:pt>
                <c:pt idx="15">
                  <c:v>2</c:v>
                </c:pt>
                <c:pt idx="16">
                  <c:v>4</c:v>
                </c:pt>
                <c:pt idx="17">
                  <c:v>6</c:v>
                </c:pt>
                <c:pt idx="18">
                  <c:v>1</c:v>
                </c:pt>
                <c:pt idx="19">
                  <c:v>2</c:v>
                </c:pt>
              </c:numCache>
            </c:numRef>
          </c:val>
          <c:extLst>
            <c:ext xmlns:c16="http://schemas.microsoft.com/office/drawing/2014/chart" uri="{C3380CC4-5D6E-409C-BE32-E72D297353CC}">
              <c16:uniqueId val="{00000000-5657-C145-97C2-D276882C17C5}"/>
            </c:ext>
          </c:extLst>
        </c:ser>
        <c:ser>
          <c:idx val="1"/>
          <c:order val="1"/>
          <c:tx>
            <c:strRef>
              <c:f>'4.2 Piv Table'!$C$2</c:f>
              <c:strCache>
                <c:ptCount val="1"/>
                <c:pt idx="0">
                  <c:v>Sum of Rentals in 2022</c:v>
                </c:pt>
              </c:strCache>
            </c:strRef>
          </c:tx>
          <c:spPr>
            <a:solidFill>
              <a:schemeClr val="accent2"/>
            </a:solidFill>
            <a:ln>
              <a:noFill/>
            </a:ln>
            <a:effectLst/>
          </c:spPr>
          <c:invertIfNegative val="0"/>
          <c:cat>
            <c:multiLvlStrRef>
              <c:f>'4.2 Piv Table'!$A$3:$A$38</c:f>
              <c:multiLvlStrCache>
                <c:ptCount val="20"/>
                <c:lvl>
                  <c:pt idx="0">
                    <c:v>Lovely and feminine</c:v>
                  </c:pt>
                  <c:pt idx="1">
                    <c:v>Vixen</c:v>
                  </c:pt>
                  <c:pt idx="2">
                    <c:v>Wow</c:v>
                  </c:pt>
                  <c:pt idx="3">
                    <c:v>Preen Press</c:v>
                  </c:pt>
                  <c:pt idx="4">
                    <c:v>Plain Sheath</c:v>
                  </c:pt>
                  <c:pt idx="5">
                    <c:v>Seeds and Fruits</c:v>
                  </c:pt>
                  <c:pt idx="6">
                    <c:v>Wheatly</c:v>
                  </c:pt>
                  <c:pt idx="7">
                    <c:v>bridal couture</c:v>
                  </c:pt>
                  <c:pt idx="8">
                    <c:v>Rainbow</c:v>
                  </c:pt>
                  <c:pt idx="9">
                    <c:v>Perfect Wave</c:v>
                  </c:pt>
                  <c:pt idx="10">
                    <c:v>Shoulder Dress</c:v>
                  </c:pt>
                  <c:pt idx="11">
                    <c:v>Pebbles</c:v>
                  </c:pt>
                  <c:pt idx="12">
                    <c:v>Circles of Ruffles</c:v>
                  </c:pt>
                  <c:pt idx="13">
                    <c:v>Flower Blossom</c:v>
                  </c:pt>
                  <c:pt idx="14">
                    <c:v>P by Pnina</c:v>
                  </c:pt>
                  <c:pt idx="15">
                    <c:v>Fern</c:v>
                  </c:pt>
                  <c:pt idx="16">
                    <c:v>Orchid</c:v>
                  </c:pt>
                  <c:pt idx="17">
                    <c:v>Graceful</c:v>
                  </c:pt>
                  <c:pt idx="18">
                    <c:v>Paisley Lace</c:v>
                  </c:pt>
                  <c:pt idx="19">
                    <c:v>Shortcake Dress</c:v>
                  </c:pt>
                </c:lvl>
                <c:lvl>
                  <c:pt idx="0">
                    <c:v>Anna Campbell</c:v>
                  </c:pt>
                  <c:pt idx="1">
                    <c:v>Calvin Klein</c:v>
                  </c:pt>
                  <c:pt idx="3">
                    <c:v>Diane von Furstenberg</c:v>
                  </c:pt>
                  <c:pt idx="4">
                    <c:v>Donna Karan</c:v>
                  </c:pt>
                  <c:pt idx="5">
                    <c:v>Elie Tahari</c:v>
                  </c:pt>
                  <c:pt idx="7">
                    <c:v>Galia Lahav</c:v>
                  </c:pt>
                  <c:pt idx="8">
                    <c:v>Giorgio Armani</c:v>
                  </c:pt>
                  <c:pt idx="9">
                    <c:v>Halston</c:v>
                  </c:pt>
                  <c:pt idx="11">
                    <c:v>Herve Leger</c:v>
                  </c:pt>
                  <c:pt idx="12">
                    <c:v>Kate Spade</c:v>
                  </c:pt>
                  <c:pt idx="14">
                    <c:v>Pnina Tornai</c:v>
                  </c:pt>
                  <c:pt idx="15">
                    <c:v>RVN</c:v>
                  </c:pt>
                  <c:pt idx="16">
                    <c:v>Shoshanna</c:v>
                  </c:pt>
                  <c:pt idx="17">
                    <c:v>Tracy Reese</c:v>
                  </c:pt>
                  <c:pt idx="18">
                    <c:v>Vera Wang</c:v>
                  </c:pt>
                </c:lvl>
              </c:multiLvlStrCache>
            </c:multiLvlStrRef>
          </c:cat>
          <c:val>
            <c:numRef>
              <c:f>'4.2 Piv Table'!$C$3:$C$38</c:f>
              <c:numCache>
                <c:formatCode>General</c:formatCode>
                <c:ptCount val="20"/>
                <c:pt idx="0">
                  <c:v>1</c:v>
                </c:pt>
                <c:pt idx="1">
                  <c:v>2</c:v>
                </c:pt>
                <c:pt idx="2">
                  <c:v>1</c:v>
                </c:pt>
                <c:pt idx="3">
                  <c:v>0</c:v>
                </c:pt>
                <c:pt idx="4">
                  <c:v>0</c:v>
                </c:pt>
                <c:pt idx="5">
                  <c:v>0</c:v>
                </c:pt>
                <c:pt idx="6">
                  <c:v>0</c:v>
                </c:pt>
                <c:pt idx="7">
                  <c:v>3</c:v>
                </c:pt>
                <c:pt idx="8">
                  <c:v>2</c:v>
                </c:pt>
                <c:pt idx="9">
                  <c:v>4</c:v>
                </c:pt>
                <c:pt idx="10">
                  <c:v>1</c:v>
                </c:pt>
                <c:pt idx="11">
                  <c:v>1</c:v>
                </c:pt>
                <c:pt idx="12">
                  <c:v>1</c:v>
                </c:pt>
                <c:pt idx="13">
                  <c:v>3</c:v>
                </c:pt>
                <c:pt idx="14">
                  <c:v>4</c:v>
                </c:pt>
                <c:pt idx="15">
                  <c:v>3</c:v>
                </c:pt>
                <c:pt idx="16">
                  <c:v>4</c:v>
                </c:pt>
                <c:pt idx="17">
                  <c:v>1</c:v>
                </c:pt>
                <c:pt idx="18">
                  <c:v>2</c:v>
                </c:pt>
                <c:pt idx="19">
                  <c:v>3</c:v>
                </c:pt>
              </c:numCache>
            </c:numRef>
          </c:val>
          <c:extLst>
            <c:ext xmlns:c16="http://schemas.microsoft.com/office/drawing/2014/chart" uri="{C3380CC4-5D6E-409C-BE32-E72D297353CC}">
              <c16:uniqueId val="{00000001-5657-C145-97C2-D276882C17C5}"/>
            </c:ext>
          </c:extLst>
        </c:ser>
        <c:dLbls>
          <c:showLegendKey val="0"/>
          <c:showVal val="0"/>
          <c:showCatName val="0"/>
          <c:showSerName val="0"/>
          <c:showPercent val="0"/>
          <c:showBubbleSize val="0"/>
        </c:dLbls>
        <c:gapWidth val="219"/>
        <c:overlap val="-27"/>
        <c:axId val="673151615"/>
        <c:axId val="1117748559"/>
      </c:barChart>
      <c:catAx>
        <c:axId val="6731516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7748559"/>
        <c:crosses val="autoZero"/>
        <c:auto val="1"/>
        <c:lblAlgn val="ctr"/>
        <c:lblOffset val="100"/>
        <c:noMultiLvlLbl val="0"/>
      </c:catAx>
      <c:valAx>
        <c:axId val="11177485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315161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sz="1000" b="0" i="0" u="none" strike="noStrike" kern="1200" spc="0" baseline="0">
                <a:solidFill>
                  <a:srgbClr val="595959"/>
                </a:solidFill>
                <a:latin typeface="+mn-lt"/>
                <a:ea typeface="+mn-ea"/>
                <a:cs typeface="+mn-cs"/>
              </a:defRPr>
            </a:pPr>
            <a:r>
              <a:rPr lang="en-GB" sz="1000" b="0" i="0" u="none" strike="noStrike" kern="1200" spc="0" baseline="0">
                <a:solidFill>
                  <a:srgbClr val="595959"/>
                </a:solidFill>
                <a:latin typeface="+mn-lt"/>
                <a:ea typeface="+mn-ea"/>
                <a:cs typeface="+mn-cs"/>
              </a:rPr>
              <a:t>Number of rentals</a:t>
            </a:r>
          </a:p>
        </c:rich>
      </c:tx>
      <c:overlay val="0"/>
      <c:spPr>
        <a:noFill/>
        <a:ln>
          <a:noFill/>
        </a:ln>
        <a:effectLst/>
      </c:spPr>
      <c:txPr>
        <a:bodyPr rot="0" spcFirstLastPara="1" vertOverflow="ellipsis" vert="horz" wrap="square" anchor="ctr" anchorCtr="1"/>
        <a:lstStyle/>
        <a:p>
          <a:pPr algn="ctr" rtl="0">
            <a:defRPr sz="1000" b="0" i="0" u="none" strike="noStrike" kern="1200" spc="0" baseline="0">
              <a:solidFill>
                <a:srgbClr val="595959"/>
              </a:solidFill>
              <a:latin typeface="+mn-lt"/>
              <a:ea typeface="+mn-ea"/>
              <a:cs typeface="+mn-cs"/>
            </a:defRPr>
          </a:pPr>
          <a:endParaRPr lang="en-US"/>
        </a:p>
      </c:txPr>
    </c:title>
    <c:autoTitleDeleted val="0"/>
    <c:plotArea>
      <c:layout/>
      <c:barChart>
        <c:barDir val="bar"/>
        <c:grouping val="clustered"/>
        <c:varyColors val="0"/>
        <c:ser>
          <c:idx val="0"/>
          <c:order val="0"/>
          <c:spPr>
            <a:solidFill>
              <a:schemeClr val="accent1"/>
            </a:solidFill>
            <a:ln>
              <a:noFill/>
            </a:ln>
            <a:effectLst/>
          </c:spPr>
          <c:invertIfNegative val="0"/>
          <c:cat>
            <c:strRef>
              <c:f>'6. Macros'!$B$3:$B$8</c:f>
              <c:strCache>
                <c:ptCount val="6"/>
                <c:pt idx="0">
                  <c:v>Paisley Lace</c:v>
                </c:pt>
                <c:pt idx="1">
                  <c:v>Circles of Ruffles</c:v>
                </c:pt>
                <c:pt idx="2">
                  <c:v>Graceful</c:v>
                </c:pt>
                <c:pt idx="3">
                  <c:v>Orchid</c:v>
                </c:pt>
                <c:pt idx="4">
                  <c:v>Wow</c:v>
                </c:pt>
                <c:pt idx="5">
                  <c:v>Vixen</c:v>
                </c:pt>
              </c:strCache>
            </c:strRef>
          </c:cat>
          <c:val>
            <c:numRef>
              <c:f>'6. Macros'!$C$3:$C$8</c:f>
              <c:numCache>
                <c:formatCode>General</c:formatCode>
                <c:ptCount val="6"/>
                <c:pt idx="0">
                  <c:v>3</c:v>
                </c:pt>
                <c:pt idx="1">
                  <c:v>6</c:v>
                </c:pt>
                <c:pt idx="2">
                  <c:v>7</c:v>
                </c:pt>
                <c:pt idx="3">
                  <c:v>8</c:v>
                </c:pt>
                <c:pt idx="4">
                  <c:v>3</c:v>
                </c:pt>
                <c:pt idx="5">
                  <c:v>5</c:v>
                </c:pt>
              </c:numCache>
            </c:numRef>
          </c:val>
          <c:extLst>
            <c:ext xmlns:c16="http://schemas.microsoft.com/office/drawing/2014/chart" uri="{C3380CC4-5D6E-409C-BE32-E72D297353CC}">
              <c16:uniqueId val="{00000000-514B-0D4B-8141-BED98A72E956}"/>
            </c:ext>
          </c:extLst>
        </c:ser>
        <c:dLbls>
          <c:showLegendKey val="0"/>
          <c:showVal val="0"/>
          <c:showCatName val="0"/>
          <c:showSerName val="0"/>
          <c:showPercent val="0"/>
          <c:showBubbleSize val="0"/>
        </c:dLbls>
        <c:gapWidth val="182"/>
        <c:axId val="675393023"/>
        <c:axId val="675329775"/>
      </c:barChart>
      <c:catAx>
        <c:axId val="675393023"/>
        <c:scaling>
          <c:orientation val="minMax"/>
        </c:scaling>
        <c:delete val="0"/>
        <c:axPos val="l"/>
        <c:title>
          <c:tx>
            <c:rich>
              <a:bodyPr rot="-5400000" spcFirstLastPara="1" vertOverflow="ellipsis" vert="horz" wrap="square" anchor="ctr" anchorCtr="1"/>
              <a:lstStyle/>
              <a:p>
                <a:pPr algn="ctr" rtl="0">
                  <a:defRPr sz="1000" b="0" i="0" u="none" strike="noStrike" kern="1200" baseline="0">
                    <a:solidFill>
                      <a:srgbClr val="595959"/>
                    </a:solidFill>
                    <a:latin typeface="+mn-lt"/>
                    <a:ea typeface="+mn-ea"/>
                    <a:cs typeface="+mn-cs"/>
                  </a:defRPr>
                </a:pPr>
                <a:r>
                  <a:rPr lang="en-US" sz="1000" b="0" i="0" u="none" strike="noStrike" kern="1200" baseline="0">
                    <a:solidFill>
                      <a:srgbClr val="595959"/>
                    </a:solidFill>
                    <a:latin typeface="+mn-lt"/>
                    <a:ea typeface="+mn-ea"/>
                    <a:cs typeface="+mn-cs"/>
                  </a:rPr>
                  <a:t>Dress names</a:t>
                </a:r>
              </a:p>
            </c:rich>
          </c:tx>
          <c:overlay val="0"/>
          <c:spPr>
            <a:noFill/>
            <a:ln>
              <a:noFill/>
            </a:ln>
            <a:effectLst/>
          </c:spPr>
          <c:txPr>
            <a:bodyPr rot="-5400000" spcFirstLastPara="1" vertOverflow="ellipsis" vert="horz" wrap="square" anchor="ctr" anchorCtr="1"/>
            <a:lstStyle/>
            <a:p>
              <a:pPr algn="ctr" rtl="0">
                <a:defRPr sz="1000" b="0" i="0" u="none" strike="noStrike" kern="1200" baseline="0">
                  <a:solidFill>
                    <a:srgbClr val="595959"/>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5329775"/>
        <c:crosses val="autoZero"/>
        <c:auto val="1"/>
        <c:lblAlgn val="ctr"/>
        <c:lblOffset val="100"/>
        <c:noMultiLvlLbl val="0"/>
      </c:catAx>
      <c:valAx>
        <c:axId val="67532977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53930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4.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9B0FF894-6142-044A-BEF8-C69CB62C6A1F}">
  <sheetPr codeName="Chart8"/>
  <sheetViews>
    <sheetView zoomScale="133" workbookViewId="0" zoomToFit="1"/>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12</xdr:col>
      <xdr:colOff>664988</xdr:colOff>
      <xdr:row>0</xdr:row>
      <xdr:rowOff>125379</xdr:rowOff>
    </xdr:from>
    <xdr:to>
      <xdr:col>20</xdr:col>
      <xdr:colOff>345440</xdr:colOff>
      <xdr:row>24</xdr:row>
      <xdr:rowOff>30480</xdr:rowOff>
    </xdr:to>
    <xdr:graphicFrame macro="">
      <xdr:nvGraphicFramePr>
        <xdr:cNvPr id="5" name="Chart 4">
          <a:extLst>
            <a:ext uri="{FF2B5EF4-FFF2-40B4-BE49-F238E27FC236}">
              <a16:creationId xmlns:a16="http://schemas.microsoft.com/office/drawing/2014/main" id="{E5AA6776-5025-FE69-46A3-561999AADD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391160</xdr:colOff>
      <xdr:row>0</xdr:row>
      <xdr:rowOff>96520</xdr:rowOff>
    </xdr:from>
    <xdr:to>
      <xdr:col>12</xdr:col>
      <xdr:colOff>314960</xdr:colOff>
      <xdr:row>31</xdr:row>
      <xdr:rowOff>162560</xdr:rowOff>
    </xdr:to>
    <xdr:graphicFrame macro="">
      <xdr:nvGraphicFramePr>
        <xdr:cNvPr id="2" name="Chart 1">
          <a:extLst>
            <a:ext uri="{FF2B5EF4-FFF2-40B4-BE49-F238E27FC236}">
              <a16:creationId xmlns:a16="http://schemas.microsoft.com/office/drawing/2014/main" id="{E77155D1-FDC3-A4EB-C04E-3766FF89AB2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520700</xdr:colOff>
      <xdr:row>1</xdr:row>
      <xdr:rowOff>63500</xdr:rowOff>
    </xdr:from>
    <xdr:to>
      <xdr:col>5</xdr:col>
      <xdr:colOff>228600</xdr:colOff>
      <xdr:row>13</xdr:row>
      <xdr:rowOff>127000</xdr:rowOff>
    </xdr:to>
    <mc:AlternateContent xmlns:mc="http://schemas.openxmlformats.org/markup-compatibility/2006">
      <mc:Choice xmlns:a14="http://schemas.microsoft.com/office/drawing/2010/main" Requires="a14">
        <xdr:graphicFrame macro="">
          <xdr:nvGraphicFramePr>
            <xdr:cNvPr id="2" name="Designer">
              <a:extLst>
                <a:ext uri="{FF2B5EF4-FFF2-40B4-BE49-F238E27FC236}">
                  <a16:creationId xmlns:a16="http://schemas.microsoft.com/office/drawing/2014/main" id="{96DF6C62-6B9C-4793-C396-AC6D646E7612}"/>
                </a:ext>
              </a:extLst>
            </xdr:cNvPr>
            <xdr:cNvGraphicFramePr/>
          </xdr:nvGraphicFramePr>
          <xdr:xfrm>
            <a:off x="0" y="0"/>
            <a:ext cx="0" cy="0"/>
          </xdr:xfrm>
          <a:graphic>
            <a:graphicData uri="http://schemas.microsoft.com/office/drawing/2010/slicer">
              <sle:slicer xmlns:sle="http://schemas.microsoft.com/office/drawing/2010/slicer" name="Designer"/>
            </a:graphicData>
          </a:graphic>
        </xdr:graphicFrame>
      </mc:Choice>
      <mc:Fallback>
        <xdr:sp macro="" textlink="">
          <xdr:nvSpPr>
            <xdr:cNvPr id="0" name=""/>
            <xdr:cNvSpPr>
              <a:spLocks noTextEdit="1"/>
            </xdr:cNvSpPr>
          </xdr:nvSpPr>
          <xdr:spPr>
            <a:xfrm>
              <a:off x="4914900" y="254000"/>
              <a:ext cx="1816100" cy="23495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313269</xdr:colOff>
      <xdr:row>2</xdr:row>
      <xdr:rowOff>91018</xdr:rowOff>
    </xdr:from>
    <xdr:to>
      <xdr:col>23</xdr:col>
      <xdr:colOff>372535</xdr:colOff>
      <xdr:row>23</xdr:row>
      <xdr:rowOff>169334</xdr:rowOff>
    </xdr:to>
    <xdr:graphicFrame macro="">
      <xdr:nvGraphicFramePr>
        <xdr:cNvPr id="4" name="Chart 3">
          <a:extLst>
            <a:ext uri="{FF2B5EF4-FFF2-40B4-BE49-F238E27FC236}">
              <a16:creationId xmlns:a16="http://schemas.microsoft.com/office/drawing/2014/main" id="{1A80D714-E65B-143E-ED46-DD1090CA2EA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520700</xdr:colOff>
      <xdr:row>14</xdr:row>
      <xdr:rowOff>165100</xdr:rowOff>
    </xdr:from>
    <xdr:to>
      <xdr:col>5</xdr:col>
      <xdr:colOff>241300</xdr:colOff>
      <xdr:row>27</xdr:row>
      <xdr:rowOff>117469</xdr:rowOff>
    </xdr:to>
    <mc:AlternateContent xmlns:mc="http://schemas.openxmlformats.org/markup-compatibility/2006">
      <mc:Choice xmlns:a14="http://schemas.microsoft.com/office/drawing/2010/main" Requires="a14">
        <xdr:graphicFrame macro="">
          <xdr:nvGraphicFramePr>
            <xdr:cNvPr id="5" name="Rentals in 2021">
              <a:extLst>
                <a:ext uri="{FF2B5EF4-FFF2-40B4-BE49-F238E27FC236}">
                  <a16:creationId xmlns:a16="http://schemas.microsoft.com/office/drawing/2014/main" id="{592E47FB-CCF1-9FA6-9E6B-CA2B6BC4E319}"/>
                </a:ext>
              </a:extLst>
            </xdr:cNvPr>
            <xdr:cNvGraphicFramePr/>
          </xdr:nvGraphicFramePr>
          <xdr:xfrm>
            <a:off x="0" y="0"/>
            <a:ext cx="0" cy="0"/>
          </xdr:xfrm>
          <a:graphic>
            <a:graphicData uri="http://schemas.microsoft.com/office/drawing/2010/slicer">
              <sle:slicer xmlns:sle="http://schemas.microsoft.com/office/drawing/2010/slicer" name="Rentals in 2021"/>
            </a:graphicData>
          </a:graphic>
        </xdr:graphicFrame>
      </mc:Choice>
      <mc:Fallback>
        <xdr:sp macro="" textlink="">
          <xdr:nvSpPr>
            <xdr:cNvPr id="0" name=""/>
            <xdr:cNvSpPr>
              <a:spLocks noTextEdit="1"/>
            </xdr:cNvSpPr>
          </xdr:nvSpPr>
          <xdr:spPr>
            <a:xfrm>
              <a:off x="4914900" y="2832100"/>
              <a:ext cx="1828800" cy="242886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508000</xdr:colOff>
      <xdr:row>28</xdr:row>
      <xdr:rowOff>139700</xdr:rowOff>
    </xdr:from>
    <xdr:to>
      <xdr:col>5</xdr:col>
      <xdr:colOff>228600</xdr:colOff>
      <xdr:row>41</xdr:row>
      <xdr:rowOff>92069</xdr:rowOff>
    </xdr:to>
    <mc:AlternateContent xmlns:mc="http://schemas.openxmlformats.org/markup-compatibility/2006">
      <mc:Choice xmlns:a14="http://schemas.microsoft.com/office/drawing/2010/main" Requires="a14">
        <xdr:graphicFrame macro="">
          <xdr:nvGraphicFramePr>
            <xdr:cNvPr id="6" name="Rentals in 2022">
              <a:extLst>
                <a:ext uri="{FF2B5EF4-FFF2-40B4-BE49-F238E27FC236}">
                  <a16:creationId xmlns:a16="http://schemas.microsoft.com/office/drawing/2014/main" id="{C8F72E32-3535-D54E-1342-D750874E352B}"/>
                </a:ext>
              </a:extLst>
            </xdr:cNvPr>
            <xdr:cNvGraphicFramePr/>
          </xdr:nvGraphicFramePr>
          <xdr:xfrm>
            <a:off x="0" y="0"/>
            <a:ext cx="0" cy="0"/>
          </xdr:xfrm>
          <a:graphic>
            <a:graphicData uri="http://schemas.microsoft.com/office/drawing/2010/slicer">
              <sle:slicer xmlns:sle="http://schemas.microsoft.com/office/drawing/2010/slicer" name="Rentals in 2022"/>
            </a:graphicData>
          </a:graphic>
        </xdr:graphicFrame>
      </mc:Choice>
      <mc:Fallback>
        <xdr:sp macro="" textlink="">
          <xdr:nvSpPr>
            <xdr:cNvPr id="0" name=""/>
            <xdr:cNvSpPr>
              <a:spLocks noTextEdit="1"/>
            </xdr:cNvSpPr>
          </xdr:nvSpPr>
          <xdr:spPr>
            <a:xfrm>
              <a:off x="4902200" y="5473700"/>
              <a:ext cx="1828800" cy="242886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431800</xdr:colOff>
          <xdr:row>10</xdr:row>
          <xdr:rowOff>84668</xdr:rowOff>
        </xdr:from>
        <xdr:to>
          <xdr:col>2</xdr:col>
          <xdr:colOff>821266</xdr:colOff>
          <xdr:row>12</xdr:row>
          <xdr:rowOff>165101</xdr:rowOff>
        </xdr:to>
        <xdr:sp macro="" textlink="">
          <xdr:nvSpPr>
            <xdr:cNvPr id="10255" name="Button 15" descr="Create Chart" hidden="1">
              <a:extLst>
                <a:ext uri="{63B3BB69-23CF-44E3-9099-C40C66FF867C}">
                  <a14:compatExt spid="_x0000_s10255"/>
                </a:ext>
                <a:ext uri="{FF2B5EF4-FFF2-40B4-BE49-F238E27FC236}">
                  <a16:creationId xmlns:a16="http://schemas.microsoft.com/office/drawing/2014/main" id="{00000000-0008-0000-0A00-00000F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400" b="0" i="0" u="none" strike="noStrike" baseline="0">
                  <a:solidFill>
                    <a:srgbClr val="000000"/>
                  </a:solidFill>
                  <a:latin typeface="Calibri" pitchFamily="2" charset="0"/>
                  <a:cs typeface="Calibri" pitchFamily="2" charset="0"/>
                </a:rPr>
                <a:t>Create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402168</xdr:colOff>
          <xdr:row>16</xdr:row>
          <xdr:rowOff>97366</xdr:rowOff>
        </xdr:from>
        <xdr:to>
          <xdr:col>2</xdr:col>
          <xdr:colOff>812800</xdr:colOff>
          <xdr:row>19</xdr:row>
          <xdr:rowOff>59267</xdr:rowOff>
        </xdr:to>
        <xdr:sp macro="" textlink="">
          <xdr:nvSpPr>
            <xdr:cNvPr id="10259" name="Button 19" hidden="1">
              <a:extLst>
                <a:ext uri="{63B3BB69-23CF-44E3-9099-C40C66FF867C}">
                  <a14:compatExt spid="_x0000_s10259"/>
                </a:ext>
                <a:ext uri="{FF2B5EF4-FFF2-40B4-BE49-F238E27FC236}">
                  <a16:creationId xmlns:a16="http://schemas.microsoft.com/office/drawing/2014/main" id="{00000000-0008-0000-0A00-000013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pitchFamily="2" charset="0"/>
                  <a:cs typeface="Calibri" pitchFamily="2" charset="0"/>
                </a:rPr>
                <a:t>Unprotect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431800</xdr:colOff>
          <xdr:row>13</xdr:row>
          <xdr:rowOff>165100</xdr:rowOff>
        </xdr:from>
        <xdr:to>
          <xdr:col>2</xdr:col>
          <xdr:colOff>723900</xdr:colOff>
          <xdr:row>15</xdr:row>
          <xdr:rowOff>101600</xdr:rowOff>
        </xdr:to>
        <xdr:sp macro="" textlink="">
          <xdr:nvSpPr>
            <xdr:cNvPr id="10261" name="Button 21" hidden="1">
              <a:extLst>
                <a:ext uri="{63B3BB69-23CF-44E3-9099-C40C66FF867C}">
                  <a14:compatExt spid="_x0000_s10261"/>
                </a:ext>
                <a:ext uri="{FF2B5EF4-FFF2-40B4-BE49-F238E27FC236}">
                  <a16:creationId xmlns:a16="http://schemas.microsoft.com/office/drawing/2014/main" id="{A4915D89-A3C4-3594-9AAA-4C551670E6F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0" i="0" u="none" strike="noStrike" baseline="0">
                  <a:solidFill>
                    <a:srgbClr val="000000"/>
                  </a:solidFill>
                  <a:latin typeface="Calibri" pitchFamily="2" charset="0"/>
                  <a:cs typeface="Calibri" pitchFamily="2" charset="0"/>
                </a:rPr>
                <a:t>Protect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absoluteAnchor>
    <xdr:pos x="0" y="0"/>
    <xdr:ext cx="9319699" cy="6073083"/>
    <xdr:graphicFrame macro="">
      <xdr:nvGraphicFramePr>
        <xdr:cNvPr id="2" name="Chart 1">
          <a:extLst>
            <a:ext uri="{FF2B5EF4-FFF2-40B4-BE49-F238E27FC236}">
              <a16:creationId xmlns:a16="http://schemas.microsoft.com/office/drawing/2014/main" id="{C1853F4F-6699-5AF4-C3E8-071C6F90C8F8}"/>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an Luu" refreshedDate="44805.470779629628" createdVersion="8" refreshedVersion="8" minRefreshableVersion="3" recordCount="20" xr:uid="{87EB42B2-6B1C-744E-8294-B67E28C2F30D}">
  <cacheSource type="worksheet">
    <worksheetSource name="Table278"/>
  </cacheSource>
  <cacheFields count="5">
    <cacheField name="Designer" numFmtId="0">
      <sharedItems count="15">
        <s v="Giorgio Armani"/>
        <s v="Vera Wang"/>
        <s v="Kate Spade"/>
        <s v="Pnina Tornai"/>
        <s v="Galia Lahav"/>
        <s v="Anna Campbell"/>
        <s v="Tracy Reese"/>
        <s v="Shoshanna"/>
        <s v="RVN"/>
        <s v="Herve Leger"/>
        <s v="Halston"/>
        <s v="Elie Tahari"/>
        <s v="Diane von Furstenberg"/>
        <s v="Donna Karan"/>
        <s v="Calvin Klein"/>
      </sharedItems>
    </cacheField>
    <cacheField name="DressName" numFmtId="0">
      <sharedItems count="20">
        <s v="Rainbow"/>
        <s v="Paisley Lace"/>
        <s v="Circles of Ruffles"/>
        <s v="P by Pnina"/>
        <s v="bridal couture"/>
        <s v="Lovely and feminine"/>
        <s v="Graceful"/>
        <s v="Orchid"/>
        <s v="Fern"/>
        <s v="Pebbles"/>
        <s v="Perfect Wave"/>
        <s v="Wheatly"/>
        <s v="Preen Press"/>
        <s v="Plain Sheath"/>
        <s v="Wow"/>
        <s v="Shortcake Dress"/>
        <s v="Flower Blossom"/>
        <s v="Seeds and Fruits"/>
        <s v="Vixen"/>
        <s v="Shoulder Dress"/>
      </sharedItems>
    </cacheField>
    <cacheField name="No. Rentals" numFmtId="0">
      <sharedItems containsSemiMixedTypes="0" containsString="0" containsNumber="1" containsInteger="1" minValue="3" maxValue="8"/>
    </cacheField>
    <cacheField name="Rentals in 2021" numFmtId="0">
      <sharedItems containsSemiMixedTypes="0" containsString="0" containsNumber="1" containsInteger="1" minValue="1" maxValue="6" count="6">
        <n v="2"/>
        <n v="1"/>
        <n v="5"/>
        <n v="4"/>
        <n v="6"/>
        <n v="3"/>
      </sharedItems>
    </cacheField>
    <cacheField name="Rentals in 2022" numFmtId="0">
      <sharedItems containsSemiMixedTypes="0" containsString="0" containsNumber="1" containsInteger="1" minValue="0" maxValue="4" count="5">
        <n v="2"/>
        <n v="1"/>
        <n v="4"/>
        <n v="3"/>
        <n v="0"/>
      </sharedItems>
    </cacheField>
  </cacheFields>
  <extLst>
    <ext xmlns:x14="http://schemas.microsoft.com/office/spreadsheetml/2009/9/main" uri="{725AE2AE-9491-48be-B2B4-4EB974FC3084}">
      <x14:pivotCacheDefinition pivotCacheId="46614839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x v="0"/>
    <x v="0"/>
    <n v="4"/>
    <x v="0"/>
    <x v="0"/>
  </r>
  <r>
    <x v="1"/>
    <x v="1"/>
    <n v="3"/>
    <x v="1"/>
    <x v="0"/>
  </r>
  <r>
    <x v="2"/>
    <x v="2"/>
    <n v="6"/>
    <x v="2"/>
    <x v="1"/>
  </r>
  <r>
    <x v="3"/>
    <x v="3"/>
    <n v="6"/>
    <x v="0"/>
    <x v="2"/>
  </r>
  <r>
    <x v="4"/>
    <x v="4"/>
    <n v="7"/>
    <x v="3"/>
    <x v="3"/>
  </r>
  <r>
    <x v="5"/>
    <x v="5"/>
    <n v="5"/>
    <x v="3"/>
    <x v="1"/>
  </r>
  <r>
    <x v="6"/>
    <x v="6"/>
    <n v="7"/>
    <x v="4"/>
    <x v="1"/>
  </r>
  <r>
    <x v="7"/>
    <x v="7"/>
    <n v="8"/>
    <x v="3"/>
    <x v="2"/>
  </r>
  <r>
    <x v="8"/>
    <x v="8"/>
    <n v="5"/>
    <x v="0"/>
    <x v="3"/>
  </r>
  <r>
    <x v="9"/>
    <x v="9"/>
    <n v="5"/>
    <x v="3"/>
    <x v="1"/>
  </r>
  <r>
    <x v="10"/>
    <x v="10"/>
    <n v="6"/>
    <x v="0"/>
    <x v="2"/>
  </r>
  <r>
    <x v="11"/>
    <x v="11"/>
    <n v="3"/>
    <x v="5"/>
    <x v="4"/>
  </r>
  <r>
    <x v="12"/>
    <x v="12"/>
    <n v="3"/>
    <x v="5"/>
    <x v="4"/>
  </r>
  <r>
    <x v="13"/>
    <x v="13"/>
    <n v="3"/>
    <x v="5"/>
    <x v="4"/>
  </r>
  <r>
    <x v="14"/>
    <x v="14"/>
    <n v="3"/>
    <x v="0"/>
    <x v="1"/>
  </r>
  <r>
    <x v="1"/>
    <x v="15"/>
    <n v="5"/>
    <x v="0"/>
    <x v="3"/>
  </r>
  <r>
    <x v="2"/>
    <x v="16"/>
    <n v="7"/>
    <x v="3"/>
    <x v="3"/>
  </r>
  <r>
    <x v="11"/>
    <x v="17"/>
    <n v="5"/>
    <x v="2"/>
    <x v="4"/>
  </r>
  <r>
    <x v="14"/>
    <x v="18"/>
    <n v="5"/>
    <x v="5"/>
    <x v="0"/>
  </r>
  <r>
    <x v="10"/>
    <x v="19"/>
    <n v="4"/>
    <x v="5"/>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7A6CE4-73DB-0544-B5DA-6BBEC75FEFDC}" name="PivotTable3"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2:C38" firstHeaderRow="0" firstDataRow="1" firstDataCol="1"/>
  <pivotFields count="5">
    <pivotField axis="axisRow" showAll="0">
      <items count="16">
        <item x="5"/>
        <item x="14"/>
        <item x="12"/>
        <item x="13"/>
        <item x="11"/>
        <item x="4"/>
        <item x="0"/>
        <item x="10"/>
        <item x="9"/>
        <item x="2"/>
        <item x="3"/>
        <item x="8"/>
        <item x="7"/>
        <item x="6"/>
        <item x="1"/>
        <item t="default"/>
      </items>
    </pivotField>
    <pivotField axis="axisRow" showAll="0">
      <items count="21">
        <item x="4"/>
        <item x="2"/>
        <item x="8"/>
        <item x="16"/>
        <item x="6"/>
        <item x="5"/>
        <item x="7"/>
        <item x="3"/>
        <item x="1"/>
        <item x="9"/>
        <item x="10"/>
        <item x="13"/>
        <item x="12"/>
        <item x="0"/>
        <item x="17"/>
        <item x="15"/>
        <item x="19"/>
        <item x="18"/>
        <item x="11"/>
        <item x="14"/>
        <item t="default"/>
      </items>
    </pivotField>
    <pivotField showAll="0"/>
    <pivotField dataField="1" showAll="0">
      <items count="7">
        <item x="1"/>
        <item x="0"/>
        <item x="5"/>
        <item x="3"/>
        <item x="2"/>
        <item x="4"/>
        <item t="default"/>
      </items>
    </pivotField>
    <pivotField dataField="1" showAll="0">
      <items count="6">
        <item x="4"/>
        <item x="1"/>
        <item x="0"/>
        <item x="3"/>
        <item x="2"/>
        <item t="default"/>
      </items>
    </pivotField>
  </pivotFields>
  <rowFields count="2">
    <field x="0"/>
    <field x="1"/>
  </rowFields>
  <rowItems count="36">
    <i>
      <x/>
    </i>
    <i r="1">
      <x v="5"/>
    </i>
    <i>
      <x v="1"/>
    </i>
    <i r="1">
      <x v="17"/>
    </i>
    <i r="1">
      <x v="19"/>
    </i>
    <i>
      <x v="2"/>
    </i>
    <i r="1">
      <x v="12"/>
    </i>
    <i>
      <x v="3"/>
    </i>
    <i r="1">
      <x v="11"/>
    </i>
    <i>
      <x v="4"/>
    </i>
    <i r="1">
      <x v="14"/>
    </i>
    <i r="1">
      <x v="18"/>
    </i>
    <i>
      <x v="5"/>
    </i>
    <i r="1">
      <x/>
    </i>
    <i>
      <x v="6"/>
    </i>
    <i r="1">
      <x v="13"/>
    </i>
    <i>
      <x v="7"/>
    </i>
    <i r="1">
      <x v="10"/>
    </i>
    <i r="1">
      <x v="16"/>
    </i>
    <i>
      <x v="8"/>
    </i>
    <i r="1">
      <x v="9"/>
    </i>
    <i>
      <x v="9"/>
    </i>
    <i r="1">
      <x v="1"/>
    </i>
    <i r="1">
      <x v="3"/>
    </i>
    <i>
      <x v="10"/>
    </i>
    <i r="1">
      <x v="7"/>
    </i>
    <i>
      <x v="11"/>
    </i>
    <i r="1">
      <x v="2"/>
    </i>
    <i>
      <x v="12"/>
    </i>
    <i r="1">
      <x v="6"/>
    </i>
    <i>
      <x v="13"/>
    </i>
    <i r="1">
      <x v="4"/>
    </i>
    <i>
      <x v="14"/>
    </i>
    <i r="1">
      <x v="8"/>
    </i>
    <i r="1">
      <x v="15"/>
    </i>
    <i t="grand">
      <x/>
    </i>
  </rowItems>
  <colFields count="1">
    <field x="-2"/>
  </colFields>
  <colItems count="2">
    <i>
      <x/>
    </i>
    <i i="1">
      <x v="1"/>
    </i>
  </colItems>
  <dataFields count="2">
    <dataField name="Sum of Rentals in 2021" fld="3" baseField="0" baseItem="0"/>
    <dataField name="Sum of Rentals in 2022" fld="4" baseField="0" baseItem="0"/>
  </dataFields>
  <chartFormats count="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3"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1"/>
          </reference>
        </references>
      </pivotArea>
    </chartFormat>
  </chartFormats>
  <pivotTableStyleInfo name="PivotStyleLight1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signer" xr10:uid="{77146391-C64C-904E-AE78-FEC273FA9547}" sourceName="Designer">
  <pivotTables>
    <pivotTable tabId="56" name="PivotTable3"/>
  </pivotTables>
  <data>
    <tabular pivotCacheId="466148396">
      <items count="15">
        <i x="5" s="1"/>
        <i x="14" s="1"/>
        <i x="12" s="1"/>
        <i x="13" s="1"/>
        <i x="11" s="1"/>
        <i x="4" s="1"/>
        <i x="0" s="1"/>
        <i x="10" s="1"/>
        <i x="9" s="1"/>
        <i x="2" s="1"/>
        <i x="3" s="1"/>
        <i x="8" s="1"/>
        <i x="7" s="1"/>
        <i x="6"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ntals_in_2021" xr10:uid="{690B14F6-5EF1-2545-8990-D6F13B8406F1}" sourceName="Rentals in 2021">
  <pivotTables>
    <pivotTable tabId="56" name="PivotTable3"/>
  </pivotTables>
  <data>
    <tabular pivotCacheId="466148396">
      <items count="6">
        <i x="1" s="1"/>
        <i x="0" s="1"/>
        <i x="5" s="1"/>
        <i x="3" s="1"/>
        <i x="2" s="1"/>
        <i x="4"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ntals_in_2022" xr10:uid="{A7B6D4C5-DFE6-364B-9891-3DB2631DE369}" sourceName="Rentals in 2022">
  <pivotTables>
    <pivotTable tabId="56" name="PivotTable3"/>
  </pivotTables>
  <data>
    <tabular pivotCacheId="466148396">
      <items count="5">
        <i x="4" s="1"/>
        <i x="1" s="1"/>
        <i x="0" s="1"/>
        <i x="3"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signer" xr10:uid="{FA7DA1F2-FFD9-8C4D-BEFA-3BB2F625C603}" cache="Slicer_Designer" caption="Designer" style="SlicerStyleLight3" rowHeight="230716"/>
  <slicer name="Rentals in 2021" xr10:uid="{68EDB38F-AC20-E844-A8F3-AB9946B3C5D8}" cache="Slicer_Rentals_in_2021" caption="Rentals in 2021" style="SlicerStyleLight5" rowHeight="230716"/>
  <slicer name="Rentals in 2022" xr10:uid="{E3A6A2D7-789B-9543-9D4A-363D6CC26DF1}" cache="Slicer_Rentals_in_2022" caption="Rentals in 2022" style="SlicerStyleLight6"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F76EBB7-9336-DF48-B497-A7989CB19C71}" name="Table1" displayName="Table1" ref="A1:I102" totalsRowShown="0" headerRowDxfId="73">
  <autoFilter ref="A1:I102" xr:uid="{CF76EBB7-9336-DF48-B497-A7989CB19C71}"/>
  <sortState xmlns:xlrd2="http://schemas.microsoft.com/office/spreadsheetml/2017/richdata2" ref="A2:I102">
    <sortCondition descending="1" ref="B1:B102"/>
  </sortState>
  <tableColumns count="9">
    <tableColumn id="1" xr3:uid="{BFACBCAE-FEA2-854F-ACB4-F4B6622C4067}" name="RentalID"/>
    <tableColumn id="2" xr3:uid="{78F769A4-1988-7942-8B62-8171687E4DB2}" name="Designer"/>
    <tableColumn id="3" xr3:uid="{4EE88C2C-CB0C-9948-A1FA-03B36663BA95}" name="DressName"/>
    <tableColumn id="4" xr3:uid="{D5855466-D385-3C42-AF7B-51E67C7A6B60}" name="Color"/>
    <tableColumn id="5" xr3:uid="{00E216BB-EF1D-B34F-96B7-4D9DC6E3D2D1}" name="RentalPrice" dataDxfId="72"/>
    <tableColumn id="6" xr3:uid="{9E9CB0B4-EC22-B74E-8352-03A17342510F}" name="RetailPrice" dataDxfId="71"/>
    <tableColumn id="7" xr3:uid="{4DDC26B8-8960-7F46-BB8C-E5FE6DBC7CF6}" name="Size"/>
    <tableColumn id="8" xr3:uid="{D25F6DED-D3F3-3843-AFD4-A0963E350A4E}" name="RentDate" dataDxfId="70"/>
    <tableColumn id="9" xr3:uid="{8D4921CD-2C58-9243-A227-08B0381CAB6B}" name="Year" dataDxfId="69">
      <calculatedColumnFormula>YEAR(Table1[[#This Row],[RentDate]])</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36567C6-FADB-724F-AAD4-00E71C67A3C8}" name="Table27" displayName="Table27" ref="A2:E22" totalsRowShown="0" headerRowDxfId="68">
  <autoFilter ref="A2:E22" xr:uid="{48AB8AFA-0F0F-9F4C-A270-0184B42CC411}"/>
  <tableColumns count="5">
    <tableColumn id="1" xr3:uid="{8DC8600F-77A2-F646-9131-DC90D2FB853B}" name="Designer" dataDxfId="67"/>
    <tableColumn id="2" xr3:uid="{1E02E2D0-1AB4-2B40-A641-F5B2E92A43FA}" name="DressName" dataDxfId="66"/>
    <tableColumn id="3" xr3:uid="{6CA3E0DA-3CDE-D140-9CFE-473972355EBA}" name="No. Rentals" dataDxfId="65">
      <calculatedColumnFormula>COUNTIF('Dress Rental (QA)'!A:I,'1. Quick Analysis (QA)'!B3)</calculatedColumnFormula>
    </tableColumn>
    <tableColumn id="4" xr3:uid="{FE2EA2DC-AF73-3C4F-BBE7-2B87AC84CE9C}" name="Sales in 2021" dataDxfId="64">
      <calculatedColumnFormula>COUNTIFS('Dress Rental (QA)'!C:C,'1. Quick Analysis (QA)'!B3,'Dress Rental (QA)'!I:I,2021)*VLOOKUP(B3,'Dress Rental (QA)'!C:E,3,FALSE)</calculatedColumnFormula>
    </tableColumn>
    <tableColumn id="5" xr3:uid="{738EA5E6-6E73-7E4A-8C9B-CD97D217763C}" name="Sales in 2022" dataDxfId="63">
      <calculatedColumnFormula>COUNTIFS('Dress Rental (QA)'!C:C,'1. Quick Analysis (QA)'!B3,'Dress Rental (QA)'!I:I,2022)*VLOOKUP(B3,'Dress Rental (QA)'!C:E,3,FALSE)</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4572B02-C092-6446-BD34-2E038BEA2BD1}" name="Table2" displayName="Table2" ref="A26:F46" totalsRowShown="0" headerRowDxfId="62" headerRowBorderDxfId="61" tableBorderDxfId="60" totalsRowBorderDxfId="59">
  <autoFilter ref="A26:F46" xr:uid="{74572B02-C092-6446-BD34-2E038BEA2BD1}"/>
  <tableColumns count="6">
    <tableColumn id="1" xr3:uid="{ADFF78D1-767A-5C49-8493-623D3B9D8955}" name="Designer" dataDxfId="58"/>
    <tableColumn id="2" xr3:uid="{E25C8466-2BDA-5146-B7B2-FBB9497D43E7}" name="DressName" dataDxfId="57"/>
    <tableColumn id="3" xr3:uid="{9C09E25B-C68C-174C-9FDF-ED49558E3681}" name="No. Rentals" dataDxfId="56">
      <calculatedColumnFormula>COUNTIF('Dress Rental (QA)'!A:I,'1. Quick Analysis (QA)'!B27)</calculatedColumnFormula>
    </tableColumn>
    <tableColumn id="4" xr3:uid="{A1D88484-B0CB-0B48-AEB4-1D093B77AD13}" name="Sales in 2022" dataDxfId="55">
      <calculatedColumnFormula>COUNTIFS('Dress Rental (QA)'!C:C,'1. Quick Analysis (QA)'!B3,'Dress Rental (QA)'!I:I,2022)*VLOOKUP(B3,'Dress Rental (QA)'!C:E,3,FALSE)</calculatedColumnFormula>
    </tableColumn>
    <tableColumn id="5" xr3:uid="{3C0FF490-FD55-9D47-84E6-FABF17FEA0EF}" name="Inflamtation in 2022" dataDxfId="54">
      <calculatedColumnFormula>D27*($I$27+1)</calculatedColumnFormula>
    </tableColumn>
    <tableColumn id="6" xr3:uid="{67C873EC-0802-F940-8A20-8A19D889E3A2}" name="Reach $10,000 in 2022_x000a_ with inflamation" dataDxfId="53">
      <calculatedColumnFormula>Table2[[#This Row],[Sales in 2022]]*($I$28+1)</calculatedColumnFormula>
    </tableColumn>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605820D-714A-8E4F-B71B-6ED3308463E8}" name="Table3" displayName="Table3" ref="A1:F103" totalsRowCount="1" headerRowDxfId="52">
  <autoFilter ref="A1:F102" xr:uid="{0605820D-714A-8E4F-B71B-6ED3308463E8}">
    <filterColumn colId="0">
      <filters>
        <filter val="Calvin Klein"/>
        <filter val="Kate Spade"/>
        <filter val="Tracy Reese"/>
        <filter val="Vera Wang"/>
      </filters>
    </filterColumn>
    <filterColumn colId="4">
      <filters>
        <filter val="10"/>
        <filter val="11"/>
        <filter val="12"/>
        <filter val="13"/>
        <filter val="9"/>
      </filters>
    </filterColumn>
    <filterColumn colId="5">
      <filters>
        <dateGroupItem year="2021" dateTimeGrouping="year"/>
      </filters>
    </filterColumn>
  </autoFilter>
  <sortState xmlns:xlrd2="http://schemas.microsoft.com/office/spreadsheetml/2017/richdata2" ref="A10:F101">
    <sortCondition ref="A1:A102"/>
  </sortState>
  <tableColumns count="6">
    <tableColumn id="2" xr3:uid="{D069B9F4-0EB8-9747-9005-FE72C0FF1987}" name="Designer"/>
    <tableColumn id="3" xr3:uid="{2386C537-F666-4E45-9EB4-4D8170F4E336}" name="DressName"/>
    <tableColumn id="4" xr3:uid="{ECB17CFC-2B83-164F-AB55-039F0651AD2E}" name="Color"/>
    <tableColumn id="5" xr3:uid="{EEFD0638-DA70-1242-B636-C841325B27EE}" name="RentalPrice" totalsRowFunction="custom" dataDxfId="51" totalsRowDxfId="1">
      <totalsRowFormula>SUBTOTAL(9,amount)</totalsRowFormula>
    </tableColumn>
    <tableColumn id="7" xr3:uid="{D5EA44BA-B3BF-C742-945F-B4D54FD40E70}" name="Size"/>
    <tableColumn id="8" xr3:uid="{89AF6BFE-C1AE-8A4B-91CB-9FD0CF170B39}" name="RentDate" dataDxfId="50" totalsRowDxfId="49"/>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50EAD4D-406D-264C-B05C-960DA690CE4D}" name="Table35" displayName="Table35" ref="A1:F103" totalsRowCount="1" headerRowDxfId="48">
  <autoFilter ref="A1:F102" xr:uid="{0605820D-714A-8E4F-B71B-6ED3308463E8}">
    <filterColumn colId="0">
      <filters>
        <filter val="Calvin Klein"/>
        <filter val="Kate Spade"/>
        <filter val="Tracy Reese"/>
        <filter val="Vera Wang"/>
      </filters>
    </filterColumn>
    <filterColumn colId="4">
      <filters>
        <filter val="10"/>
        <filter val="11"/>
        <filter val="12"/>
        <filter val="13"/>
        <filter val="9"/>
      </filters>
    </filterColumn>
    <filterColumn colId="5">
      <filters>
        <dateGroupItem year="2021" dateTimeGrouping="year"/>
      </filters>
    </filterColumn>
  </autoFilter>
  <sortState xmlns:xlrd2="http://schemas.microsoft.com/office/spreadsheetml/2017/richdata2" ref="A10:F101">
    <sortCondition ref="A1:A102"/>
  </sortState>
  <tableColumns count="6">
    <tableColumn id="2" xr3:uid="{6748E2CA-9944-3948-B997-4333440FE68B}" name="Designer"/>
    <tableColumn id="3" xr3:uid="{26E57BA1-3198-6945-9F18-C0557AA61EEE}" name="DressName"/>
    <tableColumn id="4" xr3:uid="{AB589087-2036-B64E-81EC-1B1F091A6E71}" name="Color"/>
    <tableColumn id="5" xr3:uid="{F3939DFD-B784-CD47-B1DF-245AC629C17C}" name="RentalPrice" totalsRowFunction="custom" dataDxfId="47" totalsRowDxfId="0">
      <totalsRowFormula>SUBTOTAL(9,amount)</totalsRowFormula>
    </tableColumn>
    <tableColumn id="7" xr3:uid="{26A8C922-B585-7641-BECC-67E56D81D11E}" name="Size"/>
    <tableColumn id="8" xr3:uid="{CD95D8F0-8783-2642-A077-36F75C3972C2}" name="RentDate" dataDxfId="46" totalsRowDxfId="45"/>
  </tableColumns>
  <tableStyleInfo name="TableStyleMedium9"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90E1C3-A1CA-D548-BD91-3B8CC109C577}" name="Table278" displayName="Table278" ref="A1:E22" totalsRowCount="1" headerRowDxfId="44" totalsRowDxfId="43" totalsRowBorderDxfId="42">
  <autoFilter ref="A1:E21" xr:uid="{9A90E1C3-A1CA-D548-BD91-3B8CC109C577}"/>
  <tableColumns count="5">
    <tableColumn id="1" xr3:uid="{831F0C68-77D7-7B4A-8155-7E45C3C81F56}" name="Designer" dataDxfId="41" totalsRowDxfId="40"/>
    <tableColumn id="2" xr3:uid="{A9EB61B4-978F-0C45-AA42-3DC6BA450510}" name="DressName" totalsRowLabel="Sum:" dataDxfId="39" totalsRowDxfId="38"/>
    <tableColumn id="3" xr3:uid="{8F38C33B-FE70-5F4E-A9C4-D5F452B5A2F9}" name="No. Rentals" totalsRowFunction="custom" dataDxfId="37" totalsRowDxfId="36">
      <calculatedColumnFormula>COUNTIF('Dress Rental (QA)'!A:I,'1. Quick Analysis (QA)'!B3)</calculatedColumnFormula>
      <totalsRowFormula>SUM(Table278[No. Rentals])</totalsRowFormula>
    </tableColumn>
    <tableColumn id="4" xr3:uid="{BA7759FC-23B8-E74E-B639-6094781ABA6E}" name="Rentals in 2021" totalsRowFunction="custom" dataDxfId="35" totalsRowDxfId="34" totalsRowCellStyle="Currency">
      <calculatedColumnFormula>COUNTIFS('Dress Rental (QA)'!C:C,'1. Quick Analysis (QA)'!B3,'Dress Rental (QA)'!I:I,2021)</calculatedColumnFormula>
      <totalsRowFormula>SUM(Table278[Rentals in 2021])</totalsRowFormula>
    </tableColumn>
    <tableColumn id="5" xr3:uid="{1360E47C-7384-DB4B-866C-CF40C7C2453C}" name="Rentals in 2022" totalsRowFunction="custom" dataDxfId="33" totalsRowDxfId="32" totalsRowCellStyle="Currency">
      <calculatedColumnFormula>COUNTIFS('Dress Rental (QA)'!C:C,'1. Quick Analysis (QA)'!B3,'Dress Rental (QA)'!I:I,2022)</calculatedColumnFormula>
      <totalsRowFormula>SUM(Table278[Rentals in 2022])</totalsRowFormula>
    </tableColumn>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C66B35F-B024-DE4E-8CD6-D303596C07DC}" name="Table27911" displayName="Table27911" ref="A2:D8" totalsRowShown="0" headerRowDxfId="31">
  <autoFilter ref="A2:D8" xr:uid="{A81C4B94-371F-ED46-87E5-0C66E13F3EA5}"/>
  <tableColumns count="4">
    <tableColumn id="1" xr3:uid="{E0095D2C-5F94-4648-93C2-F33C7188F2BB}" name="Designer" dataDxfId="30"/>
    <tableColumn id="2" xr3:uid="{B57322B0-DE12-9C49-ADF2-B64A2DD35B9D}" name="DressName" dataDxfId="29"/>
    <tableColumn id="3" xr3:uid="{A83F7E24-7262-AE4A-884A-02D13D0CB98C}" name="No. Rentals" dataDxfId="28">
      <calculatedColumnFormula>COUNTIF('Dress Rental (QA)'!A:I,'1. Quick Analysis (QA)'!B3)</calculatedColumnFormula>
    </tableColumn>
    <tableColumn id="4" xr3:uid="{C9410C10-38EE-0F43-AA64-77E50640A4D8}" name="Status" dataDxfId="27">
      <calculatedColumnFormula>IF(Table27911[[#This Row],[No. Rentals]]&lt;4,$G$3,IF(Table27911[[#This Row],[No. Rentals]]&lt;6,$G$4,IF(Table27911[[#This Row],[No. Rentals]]&lt;8,$G$5,$G$6)))</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945B806-5622-3D4C-8325-A9DFC2BD827F}" name="Table912" displayName="Table912" ref="F2:G6" totalsRowShown="0" headerRowDxfId="26">
  <autoFilter ref="F2:G6" xr:uid="{049432E1-AF53-5B42-8C7B-EE9FF2365452}"/>
  <tableColumns count="2">
    <tableColumn id="1" xr3:uid="{73B40E72-B820-2746-BB7C-52E74DCC77A9}" name="Number of Rentals " dataDxfId="25"/>
    <tableColumn id="2" xr3:uid="{E85E292C-D41D-6149-A2CD-F8CEC1D22690}" name="Status" dataDxfId="24"/>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81C4B94-371F-ED46-87E5-0C66E13F3EA5}" name="Table279" displayName="Table279" ref="A2:D8" totalsRowShown="0" headerRowDxfId="23">
  <autoFilter ref="A2:D8" xr:uid="{A81C4B94-371F-ED46-87E5-0C66E13F3EA5}"/>
  <tableColumns count="4">
    <tableColumn id="1" xr3:uid="{02B93F20-0463-3942-A092-08EA69EE33F2}" name="Designer" dataDxfId="22"/>
    <tableColumn id="2" xr3:uid="{1AE45352-0430-7E4B-B9E0-B2884134683A}" name="DressName" dataDxfId="21"/>
    <tableColumn id="3" xr3:uid="{FA4F2A53-4EF2-B44E-824E-0D3236E1D2E4}" name="No. Rentals" dataDxfId="20">
      <calculatedColumnFormula>COUNTIF('Dress Rental (QA)'!A:I,'1. Quick Analysis (QA)'!B3)</calculatedColumnFormula>
    </tableColumn>
    <tableColumn id="4" xr3:uid="{292FCD47-9C68-9F45-B0DC-CFDF8D67549F}" name="Status" dataDxfId="19">
      <calculatedColumnFormula>VLOOKUP(Table279[[#This Row],[No. Rentals]],Table9[[#All],[Lowest Value]:[Status]],2,TRUE)</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49432E1-AF53-5B42-8C7B-EE9FF2365452}" name="Table9" displayName="Table9" ref="F2:H6" totalsRowShown="0" headerRowDxfId="18">
  <autoFilter ref="F2:H6" xr:uid="{049432E1-AF53-5B42-8C7B-EE9FF2365452}"/>
  <tableColumns count="3">
    <tableColumn id="1" xr3:uid="{9159F51C-865D-724F-961E-96B09D74A391}" name="Number of Rentals " dataDxfId="17"/>
    <tableColumn id="3" xr3:uid="{6034DF86-83BE-A84F-BF28-06758FC0605D}" name="Lowest Value" dataDxfId="16"/>
    <tableColumn id="2" xr3:uid="{7D3F5F86-8959-794D-ACB3-F2007181A9CC}" name="Status" dataDxfId="15"/>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333B0194-BA21-134A-B164-13582180EB0D}" name="Table27913" displayName="Table27913" ref="A2:D8" totalsRowShown="0" headerRowDxfId="14">
  <autoFilter ref="A2:D8" xr:uid="{A81C4B94-371F-ED46-87E5-0C66E13F3EA5}"/>
  <tableColumns count="4">
    <tableColumn id="1" xr3:uid="{6DD25BA7-676E-7247-B047-ADD157EC2BB8}" name="Designer" dataDxfId="13"/>
    <tableColumn id="2" xr3:uid="{2B65BF4B-67A5-A644-AF6D-BE9AA51DB8A6}" name="DressName" dataDxfId="8"/>
    <tableColumn id="3" xr3:uid="{67292CF2-3AB6-8948-BD5C-1F26FA793F7B}" name="No. Rentals" dataDxfId="6"/>
    <tableColumn id="4" xr3:uid="{4BFD9A48-784C-864F-A76E-54AAB91E9301}" name="Status" dataDxfId="7">
      <calculatedColumnFormula>VLOOKUP(Table27913[[#This Row],[No. Rentals]],Table914[[#All],[Lowest Value]:[Column1]],2,TRUE)</calculatedColumnFormula>
    </tableColumn>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902D6D8-E7E7-A348-818F-5A1471743583}" name="Table914" displayName="Table914" ref="F2:H6" totalsRowShown="0" headerRowDxfId="12">
  <autoFilter ref="F2:H6" xr:uid="{049432E1-AF53-5B42-8C7B-EE9FF2365452}"/>
  <tableColumns count="3">
    <tableColumn id="1" xr3:uid="{379A89C6-BF23-CF4D-ACD8-A9FB350024D4}" name="Number of Rentals " dataDxfId="11"/>
    <tableColumn id="3" xr3:uid="{35176C03-47A0-3449-8EB9-A4332E3C56E1}" name="Lowest Value" dataDxfId="9"/>
    <tableColumn id="2" xr3:uid="{74B71D66-A4C1-D940-A41B-E158351DD6D4}" name="Column1" dataDxf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xml"/><Relationship Id="rId7" Type="http://schemas.openxmlformats.org/officeDocument/2006/relationships/table" Target="../tables/table12.xml"/><Relationship Id="rId2" Type="http://schemas.openxmlformats.org/officeDocument/2006/relationships/vmlDrawing" Target="../drawings/vmlDrawing1.vml"/><Relationship Id="rId1" Type="http://schemas.openxmlformats.org/officeDocument/2006/relationships/drawing" Target="../drawings/drawing3.xml"/><Relationship Id="rId6" Type="http://schemas.openxmlformats.org/officeDocument/2006/relationships/table" Target="../tables/table1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F1456-3DBF-1A42-94BA-A6EB45B54792}">
  <sheetPr codeName="Sheet3"/>
  <dimension ref="B1:D9"/>
  <sheetViews>
    <sheetView workbookViewId="0">
      <selection activeCell="C16" sqref="C16"/>
    </sheetView>
  </sheetViews>
  <sheetFormatPr baseColWidth="10" defaultRowHeight="15" x14ac:dyDescent="0.2"/>
  <cols>
    <col min="1" max="1" width="5.6640625" customWidth="1"/>
    <col min="2" max="2" width="15.5" customWidth="1"/>
    <col min="3" max="3" width="57.83203125" customWidth="1"/>
  </cols>
  <sheetData>
    <row r="1" spans="2:4" ht="19" x14ac:dyDescent="0.25">
      <c r="B1" s="51" t="s">
        <v>223</v>
      </c>
      <c r="C1" s="52"/>
      <c r="D1" s="48"/>
    </row>
    <row r="2" spans="2:4" ht="19" x14ac:dyDescent="0.25">
      <c r="B2" s="49"/>
      <c r="C2" s="49"/>
      <c r="D2" s="48"/>
    </row>
    <row r="3" spans="2:4" ht="19" x14ac:dyDescent="0.25">
      <c r="B3" s="49"/>
      <c r="C3" s="49"/>
      <c r="D3" s="48"/>
    </row>
    <row r="4" spans="2:4" ht="19" x14ac:dyDescent="0.25">
      <c r="B4" s="50" t="s">
        <v>221</v>
      </c>
      <c r="C4" s="60" t="s">
        <v>222</v>
      </c>
      <c r="D4" s="48"/>
    </row>
    <row r="5" spans="2:4" ht="19" x14ac:dyDescent="0.25">
      <c r="B5" s="50" t="s">
        <v>227</v>
      </c>
      <c r="C5" s="60">
        <v>33104824</v>
      </c>
      <c r="D5" s="48"/>
    </row>
    <row r="6" spans="2:4" ht="19" x14ac:dyDescent="0.25">
      <c r="B6" s="50" t="s">
        <v>224</v>
      </c>
      <c r="C6" s="61">
        <v>44806</v>
      </c>
      <c r="D6" s="48"/>
    </row>
    <row r="7" spans="2:4" ht="19" x14ac:dyDescent="0.25">
      <c r="B7" s="50" t="s">
        <v>225</v>
      </c>
      <c r="C7" s="58" t="s">
        <v>228</v>
      </c>
      <c r="D7" s="48"/>
    </row>
    <row r="8" spans="2:4" ht="155" customHeight="1" x14ac:dyDescent="0.25">
      <c r="B8" s="50" t="s">
        <v>229</v>
      </c>
      <c r="C8" s="59" t="s">
        <v>230</v>
      </c>
      <c r="D8" s="48"/>
    </row>
    <row r="9" spans="2:4" ht="19" x14ac:dyDescent="0.25">
      <c r="B9" s="49"/>
      <c r="C9" s="49"/>
      <c r="D9" s="48"/>
    </row>
  </sheetData>
  <mergeCells count="1">
    <mergeCell ref="B1:C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H102"/>
  <sheetViews>
    <sheetView workbookViewId="0">
      <selection activeCell="F18" sqref="F18"/>
    </sheetView>
  </sheetViews>
  <sheetFormatPr baseColWidth="10" defaultColWidth="8.83203125" defaultRowHeight="15" x14ac:dyDescent="0.2"/>
  <cols>
    <col min="1" max="1" width="9.83203125" bestFit="1" customWidth="1"/>
    <col min="2" max="2" width="26.33203125" customWidth="1"/>
    <col min="3" max="3" width="21.33203125" customWidth="1"/>
    <col min="5" max="5" width="12.33203125" bestFit="1" customWidth="1"/>
    <col min="6" max="6" width="11.83203125" bestFit="1" customWidth="1"/>
    <col min="7" max="7" width="9.33203125" bestFit="1" customWidth="1"/>
    <col min="8" max="8" width="18.5" style="3" bestFit="1" customWidth="1"/>
  </cols>
  <sheetData>
    <row r="1" spans="1:8" x14ac:dyDescent="0.2">
      <c r="A1" s="2" t="s">
        <v>156</v>
      </c>
      <c r="B1" s="2" t="s">
        <v>0</v>
      </c>
      <c r="C1" s="2" t="s">
        <v>1</v>
      </c>
      <c r="D1" s="2" t="s">
        <v>2</v>
      </c>
      <c r="E1" s="2" t="s">
        <v>3</v>
      </c>
      <c r="F1" s="2" t="s">
        <v>4</v>
      </c>
      <c r="G1" s="2" t="s">
        <v>5</v>
      </c>
      <c r="H1" s="2" t="s">
        <v>154</v>
      </c>
    </row>
    <row r="2" spans="1:8" x14ac:dyDescent="0.2">
      <c r="A2" t="s">
        <v>6</v>
      </c>
      <c r="B2" t="s">
        <v>7</v>
      </c>
      <c r="C2" t="s">
        <v>8</v>
      </c>
      <c r="D2" t="s">
        <v>9</v>
      </c>
      <c r="E2" s="1">
        <v>150</v>
      </c>
      <c r="F2" s="1">
        <v>3490</v>
      </c>
      <c r="G2">
        <v>6</v>
      </c>
      <c r="H2" s="4">
        <v>44448</v>
      </c>
    </row>
    <row r="3" spans="1:8" x14ac:dyDescent="0.2">
      <c r="A3" t="s">
        <v>10</v>
      </c>
      <c r="B3" t="s">
        <v>11</v>
      </c>
      <c r="C3" t="s">
        <v>12</v>
      </c>
      <c r="D3" t="s">
        <v>13</v>
      </c>
      <c r="E3" s="1">
        <v>110</v>
      </c>
      <c r="F3" s="1">
        <v>1999</v>
      </c>
      <c r="G3">
        <v>12</v>
      </c>
      <c r="H3" s="4">
        <v>44564</v>
      </c>
    </row>
    <row r="4" spans="1:8" x14ac:dyDescent="0.2">
      <c r="A4" t="s">
        <v>14</v>
      </c>
      <c r="B4" t="s">
        <v>15</v>
      </c>
      <c r="C4" t="s">
        <v>16</v>
      </c>
      <c r="D4" t="s">
        <v>9</v>
      </c>
      <c r="E4" s="1">
        <v>200</v>
      </c>
      <c r="F4" s="1">
        <v>3980</v>
      </c>
      <c r="G4">
        <v>8</v>
      </c>
      <c r="H4" s="4">
        <v>44455</v>
      </c>
    </row>
    <row r="5" spans="1:8" x14ac:dyDescent="0.2">
      <c r="A5" t="s">
        <v>17</v>
      </c>
      <c r="B5" t="s">
        <v>18</v>
      </c>
      <c r="C5" t="s">
        <v>19</v>
      </c>
      <c r="D5" t="s">
        <v>20</v>
      </c>
      <c r="E5" s="1">
        <v>250</v>
      </c>
      <c r="F5" s="1">
        <v>2750</v>
      </c>
      <c r="G5">
        <v>7</v>
      </c>
      <c r="H5" s="4">
        <v>44291</v>
      </c>
    </row>
    <row r="6" spans="1:8" x14ac:dyDescent="0.2">
      <c r="A6" t="s">
        <v>21</v>
      </c>
      <c r="B6" t="s">
        <v>22</v>
      </c>
      <c r="C6" t="s">
        <v>23</v>
      </c>
      <c r="D6" t="s">
        <v>20</v>
      </c>
      <c r="E6" s="1">
        <v>199</v>
      </c>
      <c r="F6" s="1">
        <v>3300</v>
      </c>
      <c r="G6">
        <v>8</v>
      </c>
      <c r="H6" s="4">
        <v>44227</v>
      </c>
    </row>
    <row r="7" spans="1:8" x14ac:dyDescent="0.2">
      <c r="A7" t="s">
        <v>24</v>
      </c>
      <c r="B7" t="s">
        <v>25</v>
      </c>
      <c r="C7" t="s">
        <v>26</v>
      </c>
      <c r="D7" t="s">
        <v>27</v>
      </c>
      <c r="E7" s="1">
        <v>150</v>
      </c>
      <c r="F7" s="1">
        <v>4780</v>
      </c>
      <c r="G7">
        <v>7</v>
      </c>
      <c r="H7" s="4">
        <v>44357</v>
      </c>
    </row>
    <row r="8" spans="1:8" x14ac:dyDescent="0.2">
      <c r="A8" t="s">
        <v>28</v>
      </c>
      <c r="B8" t="s">
        <v>29</v>
      </c>
      <c r="C8" t="s">
        <v>30</v>
      </c>
      <c r="D8" t="s">
        <v>31</v>
      </c>
      <c r="E8" s="1">
        <v>125</v>
      </c>
      <c r="F8" s="1">
        <v>1780</v>
      </c>
      <c r="G8">
        <v>10</v>
      </c>
      <c r="H8" s="4">
        <v>44353</v>
      </c>
    </row>
    <row r="9" spans="1:8" x14ac:dyDescent="0.2">
      <c r="A9" t="s">
        <v>32</v>
      </c>
      <c r="B9" t="s">
        <v>33</v>
      </c>
      <c r="C9" t="s">
        <v>34</v>
      </c>
      <c r="D9" t="s">
        <v>35</v>
      </c>
      <c r="E9" s="1">
        <v>150</v>
      </c>
      <c r="F9" s="1">
        <v>1590</v>
      </c>
      <c r="G9">
        <v>5</v>
      </c>
      <c r="H9" s="4">
        <v>44661</v>
      </c>
    </row>
    <row r="10" spans="1:8" x14ac:dyDescent="0.2">
      <c r="A10" t="s">
        <v>36</v>
      </c>
      <c r="B10" t="s">
        <v>37</v>
      </c>
      <c r="C10" t="s">
        <v>38</v>
      </c>
      <c r="D10" t="s">
        <v>39</v>
      </c>
      <c r="E10" s="1">
        <v>250</v>
      </c>
      <c r="F10" s="1">
        <v>2850</v>
      </c>
      <c r="G10">
        <v>7</v>
      </c>
      <c r="H10" s="4">
        <v>44720</v>
      </c>
    </row>
    <row r="11" spans="1:8" x14ac:dyDescent="0.2">
      <c r="A11" t="s">
        <v>40</v>
      </c>
      <c r="B11" t="s">
        <v>41</v>
      </c>
      <c r="C11" t="s">
        <v>42</v>
      </c>
      <c r="D11" t="s">
        <v>43</v>
      </c>
      <c r="E11" s="1">
        <v>190</v>
      </c>
      <c r="F11" s="1">
        <v>3295</v>
      </c>
      <c r="G11">
        <v>10</v>
      </c>
      <c r="H11" s="4">
        <v>44396</v>
      </c>
    </row>
    <row r="12" spans="1:8" x14ac:dyDescent="0.2">
      <c r="A12" t="s">
        <v>44</v>
      </c>
      <c r="B12" t="s">
        <v>45</v>
      </c>
      <c r="C12" t="s">
        <v>46</v>
      </c>
      <c r="D12" t="s">
        <v>43</v>
      </c>
      <c r="E12" s="1">
        <v>150</v>
      </c>
      <c r="F12" s="1">
        <v>4350</v>
      </c>
      <c r="G12">
        <v>5</v>
      </c>
      <c r="H12" s="4">
        <v>44581</v>
      </c>
    </row>
    <row r="13" spans="1:8" x14ac:dyDescent="0.2">
      <c r="A13" t="s">
        <v>47</v>
      </c>
      <c r="B13" t="s">
        <v>48</v>
      </c>
      <c r="C13" t="s">
        <v>49</v>
      </c>
      <c r="D13" t="s">
        <v>50</v>
      </c>
      <c r="E13" s="1">
        <v>100</v>
      </c>
      <c r="F13" s="1">
        <v>3698</v>
      </c>
      <c r="G13">
        <v>8</v>
      </c>
      <c r="H13" s="4">
        <v>44199</v>
      </c>
    </row>
    <row r="14" spans="1:8" x14ac:dyDescent="0.2">
      <c r="A14" t="s">
        <v>51</v>
      </c>
      <c r="B14" t="s">
        <v>52</v>
      </c>
      <c r="C14" t="s">
        <v>53</v>
      </c>
      <c r="D14" t="s">
        <v>54</v>
      </c>
      <c r="E14" s="1">
        <v>150</v>
      </c>
      <c r="F14" s="1">
        <v>2450</v>
      </c>
      <c r="G14">
        <v>12</v>
      </c>
      <c r="H14" s="4">
        <v>44436</v>
      </c>
    </row>
    <row r="15" spans="1:8" x14ac:dyDescent="0.2">
      <c r="A15" t="s">
        <v>55</v>
      </c>
      <c r="B15" t="s">
        <v>56</v>
      </c>
      <c r="C15" t="s">
        <v>57</v>
      </c>
      <c r="D15" t="s">
        <v>27</v>
      </c>
      <c r="E15" s="1">
        <v>50</v>
      </c>
      <c r="F15" s="1">
        <v>2395</v>
      </c>
      <c r="G15">
        <v>6</v>
      </c>
      <c r="H15" s="4">
        <v>44244</v>
      </c>
    </row>
    <row r="16" spans="1:8" x14ac:dyDescent="0.2">
      <c r="A16" t="s">
        <v>58</v>
      </c>
      <c r="B16" t="s">
        <v>59</v>
      </c>
      <c r="C16" t="s">
        <v>60</v>
      </c>
      <c r="D16" t="s">
        <v>61</v>
      </c>
      <c r="E16" s="1">
        <v>165</v>
      </c>
      <c r="F16" s="1">
        <v>3980</v>
      </c>
      <c r="G16">
        <v>7</v>
      </c>
      <c r="H16" s="4">
        <v>44739</v>
      </c>
    </row>
    <row r="17" spans="1:8" x14ac:dyDescent="0.2">
      <c r="A17" t="s">
        <v>62</v>
      </c>
      <c r="B17" t="s">
        <v>11</v>
      </c>
      <c r="C17" t="s">
        <v>155</v>
      </c>
      <c r="D17" t="s">
        <v>54</v>
      </c>
      <c r="E17" s="1">
        <v>160</v>
      </c>
      <c r="F17" s="1">
        <v>2680</v>
      </c>
      <c r="G17">
        <v>12</v>
      </c>
      <c r="H17" s="4">
        <v>44558</v>
      </c>
    </row>
    <row r="18" spans="1:8" x14ac:dyDescent="0.2">
      <c r="A18" t="s">
        <v>63</v>
      </c>
      <c r="B18" t="s">
        <v>15</v>
      </c>
      <c r="C18" t="s">
        <v>64</v>
      </c>
      <c r="D18" t="s">
        <v>39</v>
      </c>
      <c r="E18" s="1">
        <v>175</v>
      </c>
      <c r="F18" s="1">
        <v>4290</v>
      </c>
      <c r="G18">
        <v>8</v>
      </c>
      <c r="H18" s="4">
        <v>44692</v>
      </c>
    </row>
    <row r="19" spans="1:8" x14ac:dyDescent="0.2">
      <c r="A19" t="s">
        <v>65</v>
      </c>
      <c r="B19" t="s">
        <v>48</v>
      </c>
      <c r="C19" t="s">
        <v>66</v>
      </c>
      <c r="D19" t="s">
        <v>67</v>
      </c>
      <c r="E19" s="1">
        <v>195</v>
      </c>
      <c r="F19" s="1">
        <v>3980</v>
      </c>
      <c r="G19">
        <v>6</v>
      </c>
      <c r="H19" s="4">
        <v>44273</v>
      </c>
    </row>
    <row r="20" spans="1:8" x14ac:dyDescent="0.2">
      <c r="A20" t="s">
        <v>68</v>
      </c>
      <c r="B20" t="s">
        <v>59</v>
      </c>
      <c r="C20" t="s">
        <v>69</v>
      </c>
      <c r="D20" t="s">
        <v>70</v>
      </c>
      <c r="E20" s="1">
        <v>175</v>
      </c>
      <c r="F20" s="1">
        <v>2998</v>
      </c>
      <c r="G20">
        <v>12</v>
      </c>
      <c r="H20" s="4">
        <v>44339</v>
      </c>
    </row>
    <row r="21" spans="1:8" x14ac:dyDescent="0.2">
      <c r="A21" t="s">
        <v>71</v>
      </c>
      <c r="B21" t="s">
        <v>45</v>
      </c>
      <c r="C21" t="s">
        <v>72</v>
      </c>
      <c r="D21" t="s">
        <v>73</v>
      </c>
      <c r="E21" s="1">
        <v>150</v>
      </c>
      <c r="F21" s="1">
        <v>1350</v>
      </c>
      <c r="G21">
        <v>9</v>
      </c>
      <c r="H21" s="4">
        <v>44338</v>
      </c>
    </row>
    <row r="22" spans="1:8" x14ac:dyDescent="0.2">
      <c r="A22" t="s">
        <v>74</v>
      </c>
      <c r="B22" t="s">
        <v>7</v>
      </c>
      <c r="C22" t="s">
        <v>8</v>
      </c>
      <c r="D22" t="s">
        <v>9</v>
      </c>
      <c r="E22" s="1">
        <v>150</v>
      </c>
      <c r="F22" s="1">
        <v>3490</v>
      </c>
      <c r="G22">
        <v>8</v>
      </c>
      <c r="H22" s="4">
        <v>44301</v>
      </c>
    </row>
    <row r="23" spans="1:8" x14ac:dyDescent="0.2">
      <c r="A23" t="s">
        <v>75</v>
      </c>
      <c r="B23" t="s">
        <v>11</v>
      </c>
      <c r="C23" t="s">
        <v>12</v>
      </c>
      <c r="D23" t="s">
        <v>13</v>
      </c>
      <c r="E23" s="1">
        <v>110</v>
      </c>
      <c r="F23" s="1">
        <v>1999</v>
      </c>
      <c r="G23">
        <v>10</v>
      </c>
      <c r="H23" s="4">
        <v>44728</v>
      </c>
    </row>
    <row r="24" spans="1:8" x14ac:dyDescent="0.2">
      <c r="A24" t="s">
        <v>76</v>
      </c>
      <c r="B24" t="s">
        <v>15</v>
      </c>
      <c r="C24" t="s">
        <v>16</v>
      </c>
      <c r="D24" t="s">
        <v>9</v>
      </c>
      <c r="E24" s="1">
        <v>200</v>
      </c>
      <c r="F24" s="1">
        <v>3980</v>
      </c>
      <c r="G24">
        <v>10</v>
      </c>
      <c r="H24" s="4">
        <v>44290</v>
      </c>
    </row>
    <row r="25" spans="1:8" x14ac:dyDescent="0.2">
      <c r="A25" t="s">
        <v>77</v>
      </c>
      <c r="B25" t="s">
        <v>18</v>
      </c>
      <c r="C25" t="s">
        <v>19</v>
      </c>
      <c r="D25" t="s">
        <v>20</v>
      </c>
      <c r="E25" s="1">
        <v>250</v>
      </c>
      <c r="F25" s="1">
        <v>2750</v>
      </c>
      <c r="G25">
        <v>8</v>
      </c>
      <c r="H25" s="4">
        <v>44622</v>
      </c>
    </row>
    <row r="26" spans="1:8" x14ac:dyDescent="0.2">
      <c r="A26" t="s">
        <v>78</v>
      </c>
      <c r="B26" t="s">
        <v>22</v>
      </c>
      <c r="C26" t="s">
        <v>23</v>
      </c>
      <c r="D26" t="s">
        <v>20</v>
      </c>
      <c r="E26" s="1">
        <v>199</v>
      </c>
      <c r="F26" s="1">
        <v>3300</v>
      </c>
      <c r="G26">
        <v>9</v>
      </c>
      <c r="H26" s="4">
        <v>44479</v>
      </c>
    </row>
    <row r="27" spans="1:8" x14ac:dyDescent="0.2">
      <c r="A27" t="s">
        <v>79</v>
      </c>
      <c r="B27" t="s">
        <v>15</v>
      </c>
      <c r="C27" t="s">
        <v>16</v>
      </c>
      <c r="D27" t="s">
        <v>9</v>
      </c>
      <c r="E27" s="1">
        <v>200</v>
      </c>
      <c r="F27" s="1">
        <v>3980</v>
      </c>
      <c r="G27">
        <v>13</v>
      </c>
      <c r="H27" s="4">
        <v>44486</v>
      </c>
    </row>
    <row r="28" spans="1:8" x14ac:dyDescent="0.2">
      <c r="A28" t="s">
        <v>80</v>
      </c>
      <c r="B28" t="s">
        <v>18</v>
      </c>
      <c r="C28" t="s">
        <v>19</v>
      </c>
      <c r="D28" t="s">
        <v>20</v>
      </c>
      <c r="E28" s="1">
        <v>250</v>
      </c>
      <c r="F28" s="1">
        <v>2750</v>
      </c>
      <c r="G28">
        <v>5</v>
      </c>
      <c r="H28" s="4">
        <v>44371</v>
      </c>
    </row>
    <row r="29" spans="1:8" x14ac:dyDescent="0.2">
      <c r="A29" t="s">
        <v>81</v>
      </c>
      <c r="B29" t="s">
        <v>22</v>
      </c>
      <c r="C29" t="s">
        <v>23</v>
      </c>
      <c r="D29" t="s">
        <v>20</v>
      </c>
      <c r="E29" s="1">
        <v>199</v>
      </c>
      <c r="F29" s="1">
        <v>3300</v>
      </c>
      <c r="G29">
        <v>13</v>
      </c>
      <c r="H29" s="4">
        <v>44208</v>
      </c>
    </row>
    <row r="30" spans="1:8" x14ac:dyDescent="0.2">
      <c r="A30" t="s">
        <v>82</v>
      </c>
      <c r="B30" t="s">
        <v>25</v>
      </c>
      <c r="C30" t="s">
        <v>26</v>
      </c>
      <c r="D30" t="s">
        <v>27</v>
      </c>
      <c r="E30" s="1">
        <v>150</v>
      </c>
      <c r="F30" s="1">
        <v>4780</v>
      </c>
      <c r="G30">
        <v>9</v>
      </c>
      <c r="H30" s="4">
        <v>44621</v>
      </c>
    </row>
    <row r="31" spans="1:8" x14ac:dyDescent="0.2">
      <c r="A31" t="s">
        <v>83</v>
      </c>
      <c r="B31" t="s">
        <v>29</v>
      </c>
      <c r="C31" t="s">
        <v>30</v>
      </c>
      <c r="D31" t="s">
        <v>31</v>
      </c>
      <c r="E31" s="1">
        <v>125</v>
      </c>
      <c r="F31" s="1">
        <v>1780</v>
      </c>
      <c r="G31">
        <v>10</v>
      </c>
      <c r="H31" s="4">
        <v>44500</v>
      </c>
    </row>
    <row r="32" spans="1:8" x14ac:dyDescent="0.2">
      <c r="A32" t="s">
        <v>84</v>
      </c>
      <c r="B32" t="s">
        <v>33</v>
      </c>
      <c r="C32" t="s">
        <v>34</v>
      </c>
      <c r="D32" t="s">
        <v>35</v>
      </c>
      <c r="E32" s="1">
        <v>150</v>
      </c>
      <c r="F32" s="1">
        <v>1590</v>
      </c>
      <c r="G32">
        <v>5</v>
      </c>
      <c r="H32" s="4">
        <v>44349</v>
      </c>
    </row>
    <row r="33" spans="1:8" x14ac:dyDescent="0.2">
      <c r="A33" t="s">
        <v>85</v>
      </c>
      <c r="B33" t="s">
        <v>29</v>
      </c>
      <c r="C33" t="s">
        <v>30</v>
      </c>
      <c r="D33" t="s">
        <v>31</v>
      </c>
      <c r="E33" s="1">
        <v>125</v>
      </c>
      <c r="F33" s="1">
        <v>1780</v>
      </c>
      <c r="G33">
        <v>5</v>
      </c>
      <c r="H33" s="4">
        <v>44218</v>
      </c>
    </row>
    <row r="34" spans="1:8" x14ac:dyDescent="0.2">
      <c r="A34" t="s">
        <v>86</v>
      </c>
      <c r="B34" t="s">
        <v>33</v>
      </c>
      <c r="C34" t="s">
        <v>34</v>
      </c>
      <c r="D34" t="s">
        <v>35</v>
      </c>
      <c r="E34" s="1">
        <v>150</v>
      </c>
      <c r="F34" s="1">
        <v>1590</v>
      </c>
      <c r="G34">
        <v>8</v>
      </c>
      <c r="H34" s="4">
        <v>44683</v>
      </c>
    </row>
    <row r="35" spans="1:8" x14ac:dyDescent="0.2">
      <c r="A35" t="s">
        <v>87</v>
      </c>
      <c r="B35" t="s">
        <v>37</v>
      </c>
      <c r="C35" t="s">
        <v>38</v>
      </c>
      <c r="D35" t="s">
        <v>39</v>
      </c>
      <c r="E35" s="1">
        <v>250</v>
      </c>
      <c r="F35" s="1">
        <v>2850</v>
      </c>
      <c r="G35">
        <v>13</v>
      </c>
      <c r="H35" s="4">
        <v>44724</v>
      </c>
    </row>
    <row r="36" spans="1:8" x14ac:dyDescent="0.2">
      <c r="A36" t="s">
        <v>88</v>
      </c>
      <c r="B36" t="s">
        <v>41</v>
      </c>
      <c r="C36" t="s">
        <v>42</v>
      </c>
      <c r="D36" t="s">
        <v>43</v>
      </c>
      <c r="E36" s="1">
        <v>190</v>
      </c>
      <c r="F36" s="1">
        <v>3295</v>
      </c>
      <c r="G36">
        <v>5</v>
      </c>
      <c r="H36" s="4">
        <v>44496</v>
      </c>
    </row>
    <row r="37" spans="1:8" x14ac:dyDescent="0.2">
      <c r="A37" t="s">
        <v>89</v>
      </c>
      <c r="B37" t="s">
        <v>45</v>
      </c>
      <c r="C37" t="s">
        <v>46</v>
      </c>
      <c r="D37" t="s">
        <v>43</v>
      </c>
      <c r="E37" s="1">
        <v>150</v>
      </c>
      <c r="F37" s="1">
        <v>4350</v>
      </c>
      <c r="G37">
        <v>11</v>
      </c>
      <c r="H37" s="4">
        <v>44580</v>
      </c>
    </row>
    <row r="38" spans="1:8" x14ac:dyDescent="0.2">
      <c r="A38" t="s">
        <v>90</v>
      </c>
      <c r="B38" t="s">
        <v>48</v>
      </c>
      <c r="C38" t="s">
        <v>49</v>
      </c>
      <c r="D38" t="s">
        <v>50</v>
      </c>
      <c r="E38" s="1">
        <v>100</v>
      </c>
      <c r="F38" s="1">
        <v>3698</v>
      </c>
      <c r="G38">
        <v>10</v>
      </c>
      <c r="H38" s="4">
        <v>44452</v>
      </c>
    </row>
    <row r="39" spans="1:8" x14ac:dyDescent="0.2">
      <c r="A39" t="s">
        <v>91</v>
      </c>
      <c r="B39" t="s">
        <v>52</v>
      </c>
      <c r="C39" t="s">
        <v>53</v>
      </c>
      <c r="D39" t="s">
        <v>54</v>
      </c>
      <c r="E39" s="1">
        <v>150</v>
      </c>
      <c r="F39" s="1">
        <v>2450</v>
      </c>
      <c r="G39">
        <v>7</v>
      </c>
      <c r="H39" s="4">
        <v>44377</v>
      </c>
    </row>
    <row r="40" spans="1:8" x14ac:dyDescent="0.2">
      <c r="A40" t="s">
        <v>92</v>
      </c>
      <c r="B40" t="s">
        <v>56</v>
      </c>
      <c r="C40" t="s">
        <v>57</v>
      </c>
      <c r="D40" t="s">
        <v>27</v>
      </c>
      <c r="E40" s="1">
        <v>50</v>
      </c>
      <c r="F40" s="1">
        <v>2395</v>
      </c>
      <c r="G40">
        <v>8</v>
      </c>
      <c r="H40" s="4">
        <v>44496</v>
      </c>
    </row>
    <row r="41" spans="1:8" x14ac:dyDescent="0.2">
      <c r="A41" t="s">
        <v>93</v>
      </c>
      <c r="B41" t="s">
        <v>59</v>
      </c>
      <c r="C41" t="s">
        <v>60</v>
      </c>
      <c r="D41" t="s">
        <v>61</v>
      </c>
      <c r="E41" s="1">
        <v>165</v>
      </c>
      <c r="F41" s="1">
        <v>3980</v>
      </c>
      <c r="G41">
        <v>11</v>
      </c>
      <c r="H41" s="4">
        <v>44240</v>
      </c>
    </row>
    <row r="42" spans="1:8" x14ac:dyDescent="0.2">
      <c r="A42" t="s">
        <v>94</v>
      </c>
      <c r="B42" t="s">
        <v>11</v>
      </c>
      <c r="C42" t="s">
        <v>155</v>
      </c>
      <c r="D42" t="s">
        <v>54</v>
      </c>
      <c r="E42" s="1">
        <v>160</v>
      </c>
      <c r="F42" s="1">
        <v>2680</v>
      </c>
      <c r="G42">
        <v>6</v>
      </c>
      <c r="H42" s="4">
        <v>44573</v>
      </c>
    </row>
    <row r="43" spans="1:8" x14ac:dyDescent="0.2">
      <c r="A43" t="s">
        <v>95</v>
      </c>
      <c r="B43" t="s">
        <v>15</v>
      </c>
      <c r="C43" t="s">
        <v>64</v>
      </c>
      <c r="D43" t="s">
        <v>39</v>
      </c>
      <c r="E43" s="1">
        <v>175</v>
      </c>
      <c r="F43" s="1">
        <v>4290</v>
      </c>
      <c r="G43">
        <v>8</v>
      </c>
      <c r="H43" s="4">
        <v>44350</v>
      </c>
    </row>
    <row r="44" spans="1:8" x14ac:dyDescent="0.2">
      <c r="A44" t="s">
        <v>96</v>
      </c>
      <c r="B44" t="s">
        <v>48</v>
      </c>
      <c r="C44" t="s">
        <v>66</v>
      </c>
      <c r="D44" t="s">
        <v>67</v>
      </c>
      <c r="E44" s="1">
        <v>195</v>
      </c>
      <c r="F44" s="1">
        <v>3980</v>
      </c>
      <c r="G44">
        <v>7</v>
      </c>
      <c r="H44" s="4">
        <v>44490</v>
      </c>
    </row>
    <row r="45" spans="1:8" x14ac:dyDescent="0.2">
      <c r="A45" t="s">
        <v>97</v>
      </c>
      <c r="B45" t="s">
        <v>11</v>
      </c>
      <c r="C45" t="s">
        <v>155</v>
      </c>
      <c r="D45" t="s">
        <v>54</v>
      </c>
      <c r="E45" s="1">
        <v>160</v>
      </c>
      <c r="F45" s="1">
        <v>2680</v>
      </c>
      <c r="G45">
        <v>11</v>
      </c>
      <c r="H45" s="4">
        <v>44629</v>
      </c>
    </row>
    <row r="46" spans="1:8" x14ac:dyDescent="0.2">
      <c r="A46" t="s">
        <v>98</v>
      </c>
      <c r="B46" t="s">
        <v>15</v>
      </c>
      <c r="C46" t="s">
        <v>64</v>
      </c>
      <c r="D46" t="s">
        <v>39</v>
      </c>
      <c r="E46" s="1">
        <v>175</v>
      </c>
      <c r="F46" s="1">
        <v>4290</v>
      </c>
      <c r="G46">
        <v>7</v>
      </c>
      <c r="H46" s="4">
        <v>44201</v>
      </c>
    </row>
    <row r="47" spans="1:8" x14ac:dyDescent="0.2">
      <c r="A47" t="s">
        <v>99</v>
      </c>
      <c r="B47" t="s">
        <v>48</v>
      </c>
      <c r="C47" t="s">
        <v>66</v>
      </c>
      <c r="D47" t="s">
        <v>67</v>
      </c>
      <c r="E47" s="1">
        <v>195</v>
      </c>
      <c r="F47" s="1">
        <v>3980</v>
      </c>
      <c r="G47">
        <v>12</v>
      </c>
      <c r="H47" s="4">
        <v>44221</v>
      </c>
    </row>
    <row r="48" spans="1:8" x14ac:dyDescent="0.2">
      <c r="A48" t="s">
        <v>100</v>
      </c>
      <c r="B48" t="s">
        <v>59</v>
      </c>
      <c r="C48" t="s">
        <v>69</v>
      </c>
      <c r="D48" t="s">
        <v>70</v>
      </c>
      <c r="E48" s="1">
        <v>175</v>
      </c>
      <c r="F48" s="1">
        <v>2998</v>
      </c>
      <c r="G48">
        <v>5</v>
      </c>
      <c r="H48" s="4">
        <v>44732</v>
      </c>
    </row>
    <row r="49" spans="1:8" x14ac:dyDescent="0.2">
      <c r="A49" t="s">
        <v>101</v>
      </c>
      <c r="B49" t="s">
        <v>45</v>
      </c>
      <c r="C49" t="s">
        <v>72</v>
      </c>
      <c r="D49" t="s">
        <v>73</v>
      </c>
      <c r="E49" s="1">
        <v>150</v>
      </c>
      <c r="F49" s="1">
        <v>1350</v>
      </c>
      <c r="G49">
        <v>5</v>
      </c>
      <c r="H49" s="4">
        <v>44555</v>
      </c>
    </row>
    <row r="50" spans="1:8" x14ac:dyDescent="0.2">
      <c r="A50" t="s">
        <v>102</v>
      </c>
      <c r="B50" t="s">
        <v>7</v>
      </c>
      <c r="C50" t="s">
        <v>8</v>
      </c>
      <c r="D50" t="s">
        <v>9</v>
      </c>
      <c r="E50" s="1">
        <v>150</v>
      </c>
      <c r="F50" s="1">
        <v>3490</v>
      </c>
      <c r="G50">
        <v>6</v>
      </c>
      <c r="H50" s="4">
        <v>44683</v>
      </c>
    </row>
    <row r="51" spans="1:8" x14ac:dyDescent="0.2">
      <c r="A51" t="s">
        <v>103</v>
      </c>
      <c r="B51" t="s">
        <v>11</v>
      </c>
      <c r="C51" t="s">
        <v>12</v>
      </c>
      <c r="D51" t="s">
        <v>13</v>
      </c>
      <c r="E51" s="1">
        <v>110</v>
      </c>
      <c r="F51" s="1">
        <v>1999</v>
      </c>
      <c r="G51">
        <v>7</v>
      </c>
      <c r="H51" s="4">
        <v>44276</v>
      </c>
    </row>
    <row r="52" spans="1:8" x14ac:dyDescent="0.2">
      <c r="A52" t="s">
        <v>104</v>
      </c>
      <c r="B52" t="s">
        <v>15</v>
      </c>
      <c r="C52" t="s">
        <v>16</v>
      </c>
      <c r="D52" t="s">
        <v>9</v>
      </c>
      <c r="E52" s="1">
        <v>200</v>
      </c>
      <c r="F52" s="1">
        <v>3980</v>
      </c>
      <c r="G52">
        <v>9</v>
      </c>
      <c r="H52" s="4">
        <v>44450</v>
      </c>
    </row>
    <row r="53" spans="1:8" x14ac:dyDescent="0.2">
      <c r="A53" t="s">
        <v>105</v>
      </c>
      <c r="B53" t="s">
        <v>48</v>
      </c>
      <c r="C53" t="s">
        <v>49</v>
      </c>
      <c r="D53" t="s">
        <v>50</v>
      </c>
      <c r="E53" s="1">
        <v>100</v>
      </c>
      <c r="F53" s="1">
        <v>3698</v>
      </c>
      <c r="G53">
        <v>12</v>
      </c>
      <c r="H53" s="4">
        <v>44285</v>
      </c>
    </row>
    <row r="54" spans="1:8" x14ac:dyDescent="0.2">
      <c r="A54" t="s">
        <v>106</v>
      </c>
      <c r="B54" t="s">
        <v>52</v>
      </c>
      <c r="C54" t="s">
        <v>53</v>
      </c>
      <c r="D54" t="s">
        <v>54</v>
      </c>
      <c r="E54" s="1">
        <v>150</v>
      </c>
      <c r="F54" s="1">
        <v>2450</v>
      </c>
      <c r="G54">
        <v>6</v>
      </c>
      <c r="H54" s="4">
        <v>44384</v>
      </c>
    </row>
    <row r="55" spans="1:8" x14ac:dyDescent="0.2">
      <c r="A55" t="s">
        <v>107</v>
      </c>
      <c r="B55" t="s">
        <v>56</v>
      </c>
      <c r="C55" t="s">
        <v>57</v>
      </c>
      <c r="D55" t="s">
        <v>27</v>
      </c>
      <c r="E55" s="1">
        <v>50</v>
      </c>
      <c r="F55" s="1">
        <v>2395</v>
      </c>
      <c r="G55">
        <v>11</v>
      </c>
      <c r="H55" s="4">
        <v>44405</v>
      </c>
    </row>
    <row r="56" spans="1:8" x14ac:dyDescent="0.2">
      <c r="A56" t="s">
        <v>108</v>
      </c>
      <c r="B56" t="s">
        <v>59</v>
      </c>
      <c r="C56" t="s">
        <v>60</v>
      </c>
      <c r="D56" t="s">
        <v>61</v>
      </c>
      <c r="E56" s="1">
        <v>165</v>
      </c>
      <c r="F56" s="1">
        <v>3980</v>
      </c>
      <c r="G56">
        <v>9</v>
      </c>
      <c r="H56" s="4">
        <v>44299</v>
      </c>
    </row>
    <row r="57" spans="1:8" x14ac:dyDescent="0.2">
      <c r="A57" t="s">
        <v>109</v>
      </c>
      <c r="B57" t="s">
        <v>11</v>
      </c>
      <c r="C57" t="s">
        <v>155</v>
      </c>
      <c r="D57" t="s">
        <v>54</v>
      </c>
      <c r="E57" s="1">
        <v>160</v>
      </c>
      <c r="F57" s="1">
        <v>2680</v>
      </c>
      <c r="G57">
        <v>9</v>
      </c>
      <c r="H57" s="4">
        <v>44672</v>
      </c>
    </row>
    <row r="58" spans="1:8" x14ac:dyDescent="0.2">
      <c r="A58" t="s">
        <v>110</v>
      </c>
      <c r="B58" t="s">
        <v>15</v>
      </c>
      <c r="C58" t="s">
        <v>64</v>
      </c>
      <c r="D58" t="s">
        <v>39</v>
      </c>
      <c r="E58" s="1">
        <v>175</v>
      </c>
      <c r="F58" s="1">
        <v>4290</v>
      </c>
      <c r="G58">
        <v>12</v>
      </c>
      <c r="H58" s="4">
        <v>44288</v>
      </c>
    </row>
    <row r="59" spans="1:8" x14ac:dyDescent="0.2">
      <c r="A59" t="s">
        <v>111</v>
      </c>
      <c r="B59" t="s">
        <v>22</v>
      </c>
      <c r="C59" t="s">
        <v>23</v>
      </c>
      <c r="D59" t="s">
        <v>20</v>
      </c>
      <c r="E59" s="1">
        <v>199</v>
      </c>
      <c r="F59" s="1">
        <v>3300</v>
      </c>
      <c r="G59">
        <v>11</v>
      </c>
      <c r="H59" s="4">
        <v>44215</v>
      </c>
    </row>
    <row r="60" spans="1:8" x14ac:dyDescent="0.2">
      <c r="A60" t="s">
        <v>112</v>
      </c>
      <c r="B60" t="s">
        <v>15</v>
      </c>
      <c r="C60" t="s">
        <v>16</v>
      </c>
      <c r="D60" t="s">
        <v>9</v>
      </c>
      <c r="E60" s="1">
        <v>200</v>
      </c>
      <c r="F60" s="1">
        <v>3980</v>
      </c>
      <c r="G60">
        <v>13</v>
      </c>
      <c r="H60" s="4">
        <v>44707</v>
      </c>
    </row>
    <row r="61" spans="1:8" x14ac:dyDescent="0.2">
      <c r="A61" t="s">
        <v>113</v>
      </c>
      <c r="B61" t="s">
        <v>18</v>
      </c>
      <c r="C61" t="s">
        <v>19</v>
      </c>
      <c r="D61" t="s">
        <v>20</v>
      </c>
      <c r="E61" s="1">
        <v>250</v>
      </c>
      <c r="F61" s="1">
        <v>2750</v>
      </c>
      <c r="G61">
        <v>11</v>
      </c>
      <c r="H61" s="4">
        <v>44612</v>
      </c>
    </row>
    <row r="62" spans="1:8" x14ac:dyDescent="0.2">
      <c r="A62" t="s">
        <v>114</v>
      </c>
      <c r="B62" t="s">
        <v>22</v>
      </c>
      <c r="C62" t="s">
        <v>23</v>
      </c>
      <c r="D62" t="s">
        <v>20</v>
      </c>
      <c r="E62" s="1">
        <v>199</v>
      </c>
      <c r="F62" s="1">
        <v>3300</v>
      </c>
      <c r="G62">
        <v>5</v>
      </c>
      <c r="H62" s="4">
        <v>44577</v>
      </c>
    </row>
    <row r="63" spans="1:8" x14ac:dyDescent="0.2">
      <c r="A63" t="s">
        <v>115</v>
      </c>
      <c r="B63" t="s">
        <v>25</v>
      </c>
      <c r="C63" t="s">
        <v>26</v>
      </c>
      <c r="D63" t="s">
        <v>27</v>
      </c>
      <c r="E63" s="1">
        <v>150</v>
      </c>
      <c r="F63" s="1">
        <v>4780</v>
      </c>
      <c r="G63">
        <v>8</v>
      </c>
      <c r="H63" s="4">
        <v>44521</v>
      </c>
    </row>
    <row r="64" spans="1:8" x14ac:dyDescent="0.2">
      <c r="A64" t="s">
        <v>116</v>
      </c>
      <c r="B64" t="s">
        <v>29</v>
      </c>
      <c r="C64" t="s">
        <v>30</v>
      </c>
      <c r="D64" t="s">
        <v>31</v>
      </c>
      <c r="E64" s="1">
        <v>125</v>
      </c>
      <c r="F64" s="1">
        <v>1780</v>
      </c>
      <c r="G64">
        <v>9</v>
      </c>
      <c r="H64" s="4">
        <v>44539</v>
      </c>
    </row>
    <row r="65" spans="1:8" x14ac:dyDescent="0.2">
      <c r="A65" t="s">
        <v>117</v>
      </c>
      <c r="B65" t="s">
        <v>33</v>
      </c>
      <c r="C65" t="s">
        <v>34</v>
      </c>
      <c r="D65" t="s">
        <v>35</v>
      </c>
      <c r="E65" s="1">
        <v>150</v>
      </c>
      <c r="F65" s="1">
        <v>1590</v>
      </c>
      <c r="G65">
        <v>7</v>
      </c>
      <c r="H65" s="4">
        <v>44562</v>
      </c>
    </row>
    <row r="66" spans="1:8" x14ac:dyDescent="0.2">
      <c r="A66" t="s">
        <v>118</v>
      </c>
      <c r="B66" t="s">
        <v>29</v>
      </c>
      <c r="C66" t="s">
        <v>30</v>
      </c>
      <c r="D66" t="s">
        <v>31</v>
      </c>
      <c r="E66" s="1">
        <v>125</v>
      </c>
      <c r="F66" s="1">
        <v>1780</v>
      </c>
      <c r="G66">
        <v>8</v>
      </c>
      <c r="H66" s="4">
        <v>44267</v>
      </c>
    </row>
    <row r="67" spans="1:8" x14ac:dyDescent="0.2">
      <c r="A67" t="s">
        <v>119</v>
      </c>
      <c r="B67" t="s">
        <v>33</v>
      </c>
      <c r="C67" t="s">
        <v>34</v>
      </c>
      <c r="D67" t="s">
        <v>35</v>
      </c>
      <c r="E67" s="1">
        <v>150</v>
      </c>
      <c r="F67" s="1">
        <v>1590</v>
      </c>
      <c r="G67">
        <v>5</v>
      </c>
      <c r="H67" s="4">
        <v>44218</v>
      </c>
    </row>
    <row r="68" spans="1:8" x14ac:dyDescent="0.2">
      <c r="A68" t="s">
        <v>120</v>
      </c>
      <c r="B68" t="s">
        <v>37</v>
      </c>
      <c r="C68" t="s">
        <v>38</v>
      </c>
      <c r="D68" t="s">
        <v>39</v>
      </c>
      <c r="E68" s="1">
        <v>250</v>
      </c>
      <c r="F68" s="1">
        <v>2850</v>
      </c>
      <c r="G68">
        <v>10</v>
      </c>
      <c r="H68" s="4">
        <v>44604</v>
      </c>
    </row>
    <row r="69" spans="1:8" x14ac:dyDescent="0.2">
      <c r="A69" t="s">
        <v>121</v>
      </c>
      <c r="B69" t="s">
        <v>41</v>
      </c>
      <c r="C69" t="s">
        <v>42</v>
      </c>
      <c r="D69" t="s">
        <v>43</v>
      </c>
      <c r="E69" s="1">
        <v>190</v>
      </c>
      <c r="F69" s="1">
        <v>3295</v>
      </c>
      <c r="G69">
        <v>10</v>
      </c>
      <c r="H69" s="4">
        <v>44474</v>
      </c>
    </row>
    <row r="70" spans="1:8" x14ac:dyDescent="0.2">
      <c r="A70" t="s">
        <v>122</v>
      </c>
      <c r="B70" t="s">
        <v>45</v>
      </c>
      <c r="C70" t="s">
        <v>46</v>
      </c>
      <c r="D70" t="s">
        <v>43</v>
      </c>
      <c r="E70" s="1">
        <v>150</v>
      </c>
      <c r="F70" s="1">
        <v>4350</v>
      </c>
      <c r="G70">
        <v>7</v>
      </c>
      <c r="H70" s="4">
        <v>44655</v>
      </c>
    </row>
    <row r="71" spans="1:8" x14ac:dyDescent="0.2">
      <c r="A71" t="s">
        <v>123</v>
      </c>
      <c r="B71" t="s">
        <v>15</v>
      </c>
      <c r="C71" t="s">
        <v>64</v>
      </c>
      <c r="D71" t="s">
        <v>39</v>
      </c>
      <c r="E71" s="1">
        <v>175</v>
      </c>
      <c r="F71" s="1">
        <v>4290</v>
      </c>
      <c r="G71">
        <v>12</v>
      </c>
      <c r="H71" s="4">
        <v>44295</v>
      </c>
    </row>
    <row r="72" spans="1:8" x14ac:dyDescent="0.2">
      <c r="A72" t="s">
        <v>124</v>
      </c>
      <c r="B72" t="s">
        <v>48</v>
      </c>
      <c r="C72" t="s">
        <v>66</v>
      </c>
      <c r="D72" t="s">
        <v>67</v>
      </c>
      <c r="E72" s="1">
        <v>195</v>
      </c>
      <c r="F72" s="1">
        <v>3980</v>
      </c>
      <c r="G72">
        <v>13</v>
      </c>
      <c r="H72" s="4">
        <v>44514</v>
      </c>
    </row>
    <row r="73" spans="1:8" x14ac:dyDescent="0.2">
      <c r="A73" t="s">
        <v>125</v>
      </c>
      <c r="B73" t="s">
        <v>59</v>
      </c>
      <c r="C73" t="s">
        <v>69</v>
      </c>
      <c r="D73" t="s">
        <v>70</v>
      </c>
      <c r="E73" s="1">
        <v>175</v>
      </c>
      <c r="F73" s="1">
        <v>2998</v>
      </c>
      <c r="G73">
        <v>11</v>
      </c>
      <c r="H73" s="4">
        <v>44667</v>
      </c>
    </row>
    <row r="74" spans="1:8" x14ac:dyDescent="0.2">
      <c r="A74" t="s">
        <v>126</v>
      </c>
      <c r="B74" t="s">
        <v>45</v>
      </c>
      <c r="C74" t="s">
        <v>72</v>
      </c>
      <c r="D74" t="s">
        <v>73</v>
      </c>
      <c r="E74" s="1">
        <v>150</v>
      </c>
      <c r="F74" s="1">
        <v>1350</v>
      </c>
      <c r="G74">
        <v>11</v>
      </c>
      <c r="H74" s="4">
        <v>44612</v>
      </c>
    </row>
    <row r="75" spans="1:8" x14ac:dyDescent="0.2">
      <c r="A75" t="s">
        <v>127</v>
      </c>
      <c r="B75" t="s">
        <v>7</v>
      </c>
      <c r="C75" t="s">
        <v>8</v>
      </c>
      <c r="D75" t="s">
        <v>9</v>
      </c>
      <c r="E75" s="1">
        <v>150</v>
      </c>
      <c r="F75" s="1">
        <v>3490</v>
      </c>
      <c r="G75">
        <v>11</v>
      </c>
      <c r="H75" s="4">
        <v>44660</v>
      </c>
    </row>
    <row r="76" spans="1:8" x14ac:dyDescent="0.2">
      <c r="A76" t="s">
        <v>128</v>
      </c>
      <c r="B76" t="s">
        <v>25</v>
      </c>
      <c r="C76" t="s">
        <v>26</v>
      </c>
      <c r="D76" t="s">
        <v>27</v>
      </c>
      <c r="E76" s="1">
        <v>150</v>
      </c>
      <c r="F76" s="1">
        <v>4780</v>
      </c>
      <c r="G76">
        <v>10</v>
      </c>
      <c r="H76" s="4">
        <v>44386</v>
      </c>
    </row>
    <row r="77" spans="1:8" x14ac:dyDescent="0.2">
      <c r="A77" t="s">
        <v>129</v>
      </c>
      <c r="B77" t="s">
        <v>29</v>
      </c>
      <c r="C77" t="s">
        <v>30</v>
      </c>
      <c r="D77" t="s">
        <v>31</v>
      </c>
      <c r="E77" s="1">
        <v>125</v>
      </c>
      <c r="F77" s="1">
        <v>1780</v>
      </c>
      <c r="G77">
        <v>5</v>
      </c>
      <c r="H77" s="4">
        <v>44472</v>
      </c>
    </row>
    <row r="78" spans="1:8" x14ac:dyDescent="0.2">
      <c r="A78" t="s">
        <v>130</v>
      </c>
      <c r="B78" t="s">
        <v>33</v>
      </c>
      <c r="C78" t="s">
        <v>34</v>
      </c>
      <c r="D78" t="s">
        <v>35</v>
      </c>
      <c r="E78" s="1">
        <v>150</v>
      </c>
      <c r="F78" s="1">
        <v>1590</v>
      </c>
      <c r="G78">
        <v>8</v>
      </c>
      <c r="H78" s="4">
        <v>44553</v>
      </c>
    </row>
    <row r="79" spans="1:8" x14ac:dyDescent="0.2">
      <c r="A79" t="s">
        <v>131</v>
      </c>
      <c r="B79" t="s">
        <v>37</v>
      </c>
      <c r="C79" t="s">
        <v>38</v>
      </c>
      <c r="D79" t="s">
        <v>39</v>
      </c>
      <c r="E79" s="1">
        <v>250</v>
      </c>
      <c r="F79" s="1">
        <v>2850</v>
      </c>
      <c r="G79">
        <v>7</v>
      </c>
      <c r="H79" s="4">
        <v>44378</v>
      </c>
    </row>
    <row r="80" spans="1:8" x14ac:dyDescent="0.2">
      <c r="A80" t="s">
        <v>132</v>
      </c>
      <c r="B80" t="s">
        <v>41</v>
      </c>
      <c r="C80" t="s">
        <v>42</v>
      </c>
      <c r="D80" t="s">
        <v>43</v>
      </c>
      <c r="E80" s="1">
        <v>190</v>
      </c>
      <c r="F80" s="1">
        <v>3295</v>
      </c>
      <c r="G80">
        <v>7</v>
      </c>
      <c r="H80" s="4">
        <v>44612</v>
      </c>
    </row>
    <row r="81" spans="1:8" x14ac:dyDescent="0.2">
      <c r="A81" t="s">
        <v>133</v>
      </c>
      <c r="B81" t="s">
        <v>45</v>
      </c>
      <c r="C81" t="s">
        <v>46</v>
      </c>
      <c r="D81" t="s">
        <v>43</v>
      </c>
      <c r="E81" s="1">
        <v>150</v>
      </c>
      <c r="F81" s="1">
        <v>4350</v>
      </c>
      <c r="G81">
        <v>10</v>
      </c>
      <c r="H81" s="4">
        <v>44560</v>
      </c>
    </row>
    <row r="82" spans="1:8" x14ac:dyDescent="0.2">
      <c r="A82" t="s">
        <v>134</v>
      </c>
      <c r="B82" t="s">
        <v>11</v>
      </c>
      <c r="C82" t="s">
        <v>155</v>
      </c>
      <c r="D82" t="s">
        <v>54</v>
      </c>
      <c r="E82" s="1">
        <v>160</v>
      </c>
      <c r="F82" s="1">
        <v>2680</v>
      </c>
      <c r="G82">
        <v>8</v>
      </c>
      <c r="H82" s="4">
        <v>44485</v>
      </c>
    </row>
    <row r="83" spans="1:8" x14ac:dyDescent="0.2">
      <c r="A83" t="s">
        <v>135</v>
      </c>
      <c r="B83" t="s">
        <v>15</v>
      </c>
      <c r="C83" t="s">
        <v>64</v>
      </c>
      <c r="D83" t="s">
        <v>39</v>
      </c>
      <c r="E83" s="1">
        <v>175</v>
      </c>
      <c r="F83" s="1">
        <v>4290</v>
      </c>
      <c r="G83">
        <v>12</v>
      </c>
      <c r="H83" s="4">
        <v>44657</v>
      </c>
    </row>
    <row r="84" spans="1:8" x14ac:dyDescent="0.2">
      <c r="A84" t="s">
        <v>136</v>
      </c>
      <c r="B84" t="s">
        <v>22</v>
      </c>
      <c r="C84" t="s">
        <v>23</v>
      </c>
      <c r="D84" t="s">
        <v>20</v>
      </c>
      <c r="E84" s="1">
        <v>199</v>
      </c>
      <c r="F84" s="1">
        <v>3300</v>
      </c>
      <c r="G84">
        <v>11</v>
      </c>
      <c r="H84" s="4">
        <v>44562</v>
      </c>
    </row>
    <row r="85" spans="1:8" x14ac:dyDescent="0.2">
      <c r="A85" t="s">
        <v>137</v>
      </c>
      <c r="B85" t="s">
        <v>15</v>
      </c>
      <c r="C85" t="s">
        <v>16</v>
      </c>
      <c r="D85" t="s">
        <v>9</v>
      </c>
      <c r="E85" s="1">
        <v>200</v>
      </c>
      <c r="F85" s="1">
        <v>3980</v>
      </c>
      <c r="G85">
        <v>9</v>
      </c>
      <c r="H85" s="4">
        <v>44299</v>
      </c>
    </row>
    <row r="86" spans="1:8" x14ac:dyDescent="0.2">
      <c r="A86" t="s">
        <v>138</v>
      </c>
      <c r="B86" t="s">
        <v>18</v>
      </c>
      <c r="C86" t="s">
        <v>19</v>
      </c>
      <c r="D86" t="s">
        <v>20</v>
      </c>
      <c r="E86" s="1">
        <v>250</v>
      </c>
      <c r="F86" s="1">
        <v>2750</v>
      </c>
      <c r="G86">
        <v>11</v>
      </c>
      <c r="H86" s="4">
        <v>44678</v>
      </c>
    </row>
    <row r="87" spans="1:8" x14ac:dyDescent="0.2">
      <c r="A87" t="s">
        <v>139</v>
      </c>
      <c r="B87" t="s">
        <v>45</v>
      </c>
      <c r="C87" t="s">
        <v>46</v>
      </c>
      <c r="D87" t="s">
        <v>43</v>
      </c>
      <c r="E87" s="1">
        <v>150</v>
      </c>
      <c r="F87" s="1">
        <v>4350</v>
      </c>
      <c r="G87">
        <v>9</v>
      </c>
      <c r="H87" s="4">
        <v>44340</v>
      </c>
    </row>
    <row r="88" spans="1:8" x14ac:dyDescent="0.2">
      <c r="A88" t="s">
        <v>140</v>
      </c>
      <c r="B88" t="s">
        <v>15</v>
      </c>
      <c r="C88" t="s">
        <v>64</v>
      </c>
      <c r="D88" t="s">
        <v>39</v>
      </c>
      <c r="E88" s="1">
        <v>175</v>
      </c>
      <c r="F88" s="1">
        <v>4290</v>
      </c>
      <c r="G88">
        <v>5</v>
      </c>
      <c r="H88" s="4">
        <v>44683</v>
      </c>
    </row>
    <row r="89" spans="1:8" x14ac:dyDescent="0.2">
      <c r="A89" t="s">
        <v>141</v>
      </c>
      <c r="B89" t="s">
        <v>48</v>
      </c>
      <c r="C89" t="s">
        <v>66</v>
      </c>
      <c r="D89" t="s">
        <v>67</v>
      </c>
      <c r="E89" s="1">
        <v>195</v>
      </c>
      <c r="F89" s="1">
        <v>3980</v>
      </c>
      <c r="G89">
        <v>13</v>
      </c>
      <c r="H89" s="4">
        <v>44250</v>
      </c>
    </row>
    <row r="90" spans="1:8" x14ac:dyDescent="0.2">
      <c r="A90" t="s">
        <v>142</v>
      </c>
      <c r="B90" t="s">
        <v>59</v>
      </c>
      <c r="C90" t="s">
        <v>69</v>
      </c>
      <c r="D90" t="s">
        <v>70</v>
      </c>
      <c r="E90" s="1">
        <v>175</v>
      </c>
      <c r="F90" s="1">
        <v>2998</v>
      </c>
      <c r="G90">
        <v>7</v>
      </c>
      <c r="H90" s="4">
        <v>44299</v>
      </c>
    </row>
    <row r="91" spans="1:8" x14ac:dyDescent="0.2">
      <c r="A91" t="s">
        <v>143</v>
      </c>
      <c r="B91" t="s">
        <v>33</v>
      </c>
      <c r="C91" t="s">
        <v>34</v>
      </c>
      <c r="D91" t="s">
        <v>35</v>
      </c>
      <c r="E91" s="1">
        <v>150</v>
      </c>
      <c r="F91" s="1">
        <v>1590</v>
      </c>
      <c r="G91">
        <v>11</v>
      </c>
      <c r="H91" s="4">
        <v>44642</v>
      </c>
    </row>
    <row r="92" spans="1:8" x14ac:dyDescent="0.2">
      <c r="A92" t="s">
        <v>144</v>
      </c>
      <c r="B92" t="s">
        <v>37</v>
      </c>
      <c r="C92" t="s">
        <v>38</v>
      </c>
      <c r="D92" t="s">
        <v>39</v>
      </c>
      <c r="E92" s="1">
        <v>250</v>
      </c>
      <c r="F92" s="1">
        <v>2850</v>
      </c>
      <c r="G92">
        <v>7</v>
      </c>
      <c r="H92" s="4">
        <v>44297</v>
      </c>
    </row>
    <row r="93" spans="1:8" x14ac:dyDescent="0.2">
      <c r="A93" t="s">
        <v>145</v>
      </c>
      <c r="B93" t="s">
        <v>41</v>
      </c>
      <c r="C93" t="s">
        <v>42</v>
      </c>
      <c r="D93" t="s">
        <v>43</v>
      </c>
      <c r="E93" s="1">
        <v>190</v>
      </c>
      <c r="F93" s="1">
        <v>3295</v>
      </c>
      <c r="G93">
        <v>8</v>
      </c>
      <c r="H93" s="4">
        <v>44559</v>
      </c>
    </row>
    <row r="94" spans="1:8" x14ac:dyDescent="0.2">
      <c r="A94" t="s">
        <v>146</v>
      </c>
      <c r="B94" t="s">
        <v>45</v>
      </c>
      <c r="C94" t="s">
        <v>46</v>
      </c>
      <c r="D94" t="s">
        <v>43</v>
      </c>
      <c r="E94" s="1">
        <v>150</v>
      </c>
      <c r="F94" s="1">
        <v>4350</v>
      </c>
      <c r="G94">
        <v>8</v>
      </c>
      <c r="H94" s="4">
        <v>44734</v>
      </c>
    </row>
    <row r="95" spans="1:8" x14ac:dyDescent="0.2">
      <c r="A95" t="s">
        <v>147</v>
      </c>
      <c r="B95" t="s">
        <v>18</v>
      </c>
      <c r="C95" t="s">
        <v>19</v>
      </c>
      <c r="D95" t="s">
        <v>20</v>
      </c>
      <c r="E95" s="1">
        <v>250</v>
      </c>
      <c r="F95" s="1">
        <v>2750</v>
      </c>
      <c r="G95">
        <v>11</v>
      </c>
      <c r="H95" s="4">
        <v>44722</v>
      </c>
    </row>
    <row r="96" spans="1:8" x14ac:dyDescent="0.2">
      <c r="A96" t="s">
        <v>148</v>
      </c>
      <c r="B96" t="s">
        <v>22</v>
      </c>
      <c r="C96" t="s">
        <v>23</v>
      </c>
      <c r="D96" t="s">
        <v>20</v>
      </c>
      <c r="E96" s="1">
        <v>199</v>
      </c>
      <c r="F96" s="1">
        <v>3300</v>
      </c>
      <c r="G96">
        <v>10</v>
      </c>
      <c r="H96" s="4">
        <v>44591</v>
      </c>
    </row>
    <row r="97" spans="1:8" x14ac:dyDescent="0.2">
      <c r="A97" t="s">
        <v>149</v>
      </c>
      <c r="B97" t="s">
        <v>25</v>
      </c>
      <c r="C97" t="s">
        <v>26</v>
      </c>
      <c r="D97" t="s">
        <v>27</v>
      </c>
      <c r="E97" s="1">
        <v>150</v>
      </c>
      <c r="F97" s="1">
        <v>4780</v>
      </c>
      <c r="G97">
        <v>6</v>
      </c>
      <c r="H97" s="4">
        <v>44329</v>
      </c>
    </row>
    <row r="98" spans="1:8" x14ac:dyDescent="0.2">
      <c r="A98" t="s">
        <v>150</v>
      </c>
      <c r="B98" t="s">
        <v>29</v>
      </c>
      <c r="C98" t="s">
        <v>30</v>
      </c>
      <c r="D98" t="s">
        <v>31</v>
      </c>
      <c r="E98" s="1">
        <v>125</v>
      </c>
      <c r="F98" s="1">
        <v>1780</v>
      </c>
      <c r="G98">
        <v>9</v>
      </c>
      <c r="H98" s="4">
        <v>44687</v>
      </c>
    </row>
    <row r="99" spans="1:8" x14ac:dyDescent="0.2">
      <c r="A99" t="s">
        <v>151</v>
      </c>
      <c r="B99" t="s">
        <v>33</v>
      </c>
      <c r="C99" t="s">
        <v>34</v>
      </c>
      <c r="D99" t="s">
        <v>35</v>
      </c>
      <c r="E99" s="1">
        <v>150</v>
      </c>
      <c r="F99" s="1">
        <v>1590</v>
      </c>
      <c r="G99">
        <v>12</v>
      </c>
      <c r="H99" s="4">
        <v>44289</v>
      </c>
    </row>
    <row r="100" spans="1:8" x14ac:dyDescent="0.2">
      <c r="A100" t="s">
        <v>152</v>
      </c>
      <c r="B100" t="s">
        <v>59</v>
      </c>
      <c r="C100" t="s">
        <v>69</v>
      </c>
      <c r="D100" t="s">
        <v>70</v>
      </c>
      <c r="E100" s="1">
        <v>175</v>
      </c>
      <c r="F100" s="1">
        <v>2998</v>
      </c>
      <c r="G100">
        <v>5</v>
      </c>
      <c r="H100" s="4">
        <v>44550</v>
      </c>
    </row>
    <row r="101" spans="1:8" x14ac:dyDescent="0.2">
      <c r="A101" t="s">
        <v>153</v>
      </c>
      <c r="B101" t="s">
        <v>45</v>
      </c>
      <c r="C101" t="s">
        <v>72</v>
      </c>
      <c r="D101" t="s">
        <v>73</v>
      </c>
      <c r="E101" s="1">
        <v>150</v>
      </c>
      <c r="F101" s="1">
        <v>1350</v>
      </c>
      <c r="G101">
        <v>9</v>
      </c>
      <c r="H101" s="4">
        <v>44302</v>
      </c>
    </row>
    <row r="102" spans="1:8" x14ac:dyDescent="0.2">
      <c r="E102">
        <f>SUM(amount)</f>
        <v>16818</v>
      </c>
    </row>
  </sheetData>
  <sheetProtection sheet="1" objects="1" scenarios="1"/>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EF6BA-807C-4E4E-A1F3-C8A8041A2E2D}">
  <sheetPr codeName="Sheet2"/>
  <dimension ref="A1:I102"/>
  <sheetViews>
    <sheetView workbookViewId="0">
      <selection activeCell="K25" sqref="K25"/>
    </sheetView>
  </sheetViews>
  <sheetFormatPr baseColWidth="10" defaultColWidth="8.83203125" defaultRowHeight="15" x14ac:dyDescent="0.2"/>
  <cols>
    <col min="1" max="1" width="10.1640625" customWidth="1"/>
    <col min="2" max="2" width="26.33203125" customWidth="1"/>
    <col min="3" max="3" width="21.33203125" customWidth="1"/>
    <col min="5" max="5" width="12.5" customWidth="1"/>
    <col min="6" max="6" width="12" customWidth="1"/>
    <col min="7" max="7" width="9.33203125" bestFit="1" customWidth="1"/>
    <col min="8" max="8" width="18.5" style="3" bestFit="1" customWidth="1"/>
  </cols>
  <sheetData>
    <row r="1" spans="1:9" x14ac:dyDescent="0.2">
      <c r="A1" s="2" t="s">
        <v>156</v>
      </c>
      <c r="B1" s="2" t="s">
        <v>0</v>
      </c>
      <c r="C1" s="2" t="s">
        <v>1</v>
      </c>
      <c r="D1" s="2" t="s">
        <v>2</v>
      </c>
      <c r="E1" s="2" t="s">
        <v>3</v>
      </c>
      <c r="F1" s="2" t="s">
        <v>4</v>
      </c>
      <c r="G1" s="2" t="s">
        <v>5</v>
      </c>
      <c r="H1" s="2" t="s">
        <v>154</v>
      </c>
      <c r="I1" s="2" t="s">
        <v>157</v>
      </c>
    </row>
    <row r="2" spans="1:9" x14ac:dyDescent="0.2">
      <c r="A2" t="s">
        <v>10</v>
      </c>
      <c r="B2" t="s">
        <v>11</v>
      </c>
      <c r="C2" t="s">
        <v>12</v>
      </c>
      <c r="D2" t="s">
        <v>13</v>
      </c>
      <c r="E2" s="1">
        <v>110</v>
      </c>
      <c r="F2" s="1">
        <v>1999</v>
      </c>
      <c r="G2">
        <v>12</v>
      </c>
      <c r="H2" s="4">
        <v>44564</v>
      </c>
      <c r="I2">
        <f>YEAR(Table1[[#This Row],[RentDate]])</f>
        <v>2022</v>
      </c>
    </row>
    <row r="3" spans="1:9" x14ac:dyDescent="0.2">
      <c r="A3" t="s">
        <v>75</v>
      </c>
      <c r="B3" t="s">
        <v>11</v>
      </c>
      <c r="C3" t="s">
        <v>12</v>
      </c>
      <c r="D3" t="s">
        <v>13</v>
      </c>
      <c r="E3" s="1">
        <v>110</v>
      </c>
      <c r="F3" s="1">
        <v>1999</v>
      </c>
      <c r="G3">
        <v>10</v>
      </c>
      <c r="H3" s="4">
        <v>44728</v>
      </c>
      <c r="I3">
        <f>YEAR(Table1[[#This Row],[RentDate]])</f>
        <v>2022</v>
      </c>
    </row>
    <row r="4" spans="1:9" x14ac:dyDescent="0.2">
      <c r="A4" t="s">
        <v>103</v>
      </c>
      <c r="B4" t="s">
        <v>11</v>
      </c>
      <c r="C4" t="s">
        <v>12</v>
      </c>
      <c r="D4" t="s">
        <v>13</v>
      </c>
      <c r="E4" s="1">
        <v>110</v>
      </c>
      <c r="F4" s="1">
        <v>1999</v>
      </c>
      <c r="G4">
        <v>7</v>
      </c>
      <c r="H4" s="4">
        <v>44276</v>
      </c>
      <c r="I4">
        <f>YEAR(Table1[[#This Row],[RentDate]])</f>
        <v>2021</v>
      </c>
    </row>
    <row r="5" spans="1:9" x14ac:dyDescent="0.2">
      <c r="A5" t="s">
        <v>62</v>
      </c>
      <c r="B5" t="s">
        <v>11</v>
      </c>
      <c r="C5" t="s">
        <v>155</v>
      </c>
      <c r="D5" t="s">
        <v>54</v>
      </c>
      <c r="E5" s="1">
        <v>160</v>
      </c>
      <c r="F5" s="1">
        <v>2680</v>
      </c>
      <c r="G5">
        <v>12</v>
      </c>
      <c r="H5" s="4">
        <v>44558</v>
      </c>
      <c r="I5">
        <f>YEAR(Table1[[#This Row],[RentDate]])</f>
        <v>2021</v>
      </c>
    </row>
    <row r="6" spans="1:9" x14ac:dyDescent="0.2">
      <c r="A6" t="s">
        <v>94</v>
      </c>
      <c r="B6" t="s">
        <v>11</v>
      </c>
      <c r="C6" t="s">
        <v>155</v>
      </c>
      <c r="D6" t="s">
        <v>54</v>
      </c>
      <c r="E6" s="1">
        <v>160</v>
      </c>
      <c r="F6" s="1">
        <v>2680</v>
      </c>
      <c r="G6">
        <v>6</v>
      </c>
      <c r="H6" s="4">
        <v>44573</v>
      </c>
      <c r="I6">
        <f>YEAR(Table1[[#This Row],[RentDate]])</f>
        <v>2022</v>
      </c>
    </row>
    <row r="7" spans="1:9" x14ac:dyDescent="0.2">
      <c r="A7" t="s">
        <v>97</v>
      </c>
      <c r="B7" t="s">
        <v>11</v>
      </c>
      <c r="C7" t="s">
        <v>155</v>
      </c>
      <c r="D7" t="s">
        <v>54</v>
      </c>
      <c r="E7" s="1">
        <v>160</v>
      </c>
      <c r="F7" s="1">
        <v>2680</v>
      </c>
      <c r="G7">
        <v>11</v>
      </c>
      <c r="H7" s="4">
        <v>44629</v>
      </c>
      <c r="I7">
        <f>YEAR(Table1[[#This Row],[RentDate]])</f>
        <v>2022</v>
      </c>
    </row>
    <row r="8" spans="1:9" x14ac:dyDescent="0.2">
      <c r="A8" t="s">
        <v>109</v>
      </c>
      <c r="B8" t="s">
        <v>11</v>
      </c>
      <c r="C8" t="s">
        <v>155</v>
      </c>
      <c r="D8" t="s">
        <v>54</v>
      </c>
      <c r="E8" s="1">
        <v>160</v>
      </c>
      <c r="F8" s="1">
        <v>2680</v>
      </c>
      <c r="G8">
        <v>9</v>
      </c>
      <c r="H8" s="4">
        <v>44672</v>
      </c>
      <c r="I8">
        <f>YEAR(Table1[[#This Row],[RentDate]])</f>
        <v>2022</v>
      </c>
    </row>
    <row r="9" spans="1:9" x14ac:dyDescent="0.2">
      <c r="A9" t="s">
        <v>134</v>
      </c>
      <c r="B9" t="s">
        <v>11</v>
      </c>
      <c r="C9" t="s">
        <v>155</v>
      </c>
      <c r="D9" t="s">
        <v>54</v>
      </c>
      <c r="E9" s="1">
        <v>160</v>
      </c>
      <c r="F9" s="1">
        <v>2680</v>
      </c>
      <c r="G9">
        <v>8</v>
      </c>
      <c r="H9" s="4">
        <v>44485</v>
      </c>
      <c r="I9">
        <f>YEAR(Table1[[#This Row],[RentDate]])</f>
        <v>2021</v>
      </c>
    </row>
    <row r="10" spans="1:9" x14ac:dyDescent="0.2">
      <c r="A10" t="s">
        <v>28</v>
      </c>
      <c r="B10" t="s">
        <v>29</v>
      </c>
      <c r="C10" t="s">
        <v>30</v>
      </c>
      <c r="D10" t="s">
        <v>31</v>
      </c>
      <c r="E10" s="1">
        <v>125</v>
      </c>
      <c r="F10" s="1">
        <v>1780</v>
      </c>
      <c r="G10">
        <v>10</v>
      </c>
      <c r="H10" s="4">
        <v>44353</v>
      </c>
      <c r="I10">
        <f>YEAR(Table1[[#This Row],[RentDate]])</f>
        <v>2021</v>
      </c>
    </row>
    <row r="11" spans="1:9" x14ac:dyDescent="0.2">
      <c r="A11" t="s">
        <v>83</v>
      </c>
      <c r="B11" t="s">
        <v>29</v>
      </c>
      <c r="C11" t="s">
        <v>30</v>
      </c>
      <c r="D11" t="s">
        <v>31</v>
      </c>
      <c r="E11" s="1">
        <v>125</v>
      </c>
      <c r="F11" s="1">
        <v>1780</v>
      </c>
      <c r="G11">
        <v>10</v>
      </c>
      <c r="H11" s="4">
        <v>44500</v>
      </c>
      <c r="I11">
        <f>YEAR(Table1[[#This Row],[RentDate]])</f>
        <v>2021</v>
      </c>
    </row>
    <row r="12" spans="1:9" x14ac:dyDescent="0.2">
      <c r="A12" t="s">
        <v>85</v>
      </c>
      <c r="B12" t="s">
        <v>29</v>
      </c>
      <c r="C12" t="s">
        <v>30</v>
      </c>
      <c r="D12" t="s">
        <v>31</v>
      </c>
      <c r="E12" s="1">
        <v>125</v>
      </c>
      <c r="F12" s="1">
        <v>1780</v>
      </c>
      <c r="G12">
        <v>5</v>
      </c>
      <c r="H12" s="4">
        <v>44218</v>
      </c>
      <c r="I12">
        <f>YEAR(Table1[[#This Row],[RentDate]])</f>
        <v>2021</v>
      </c>
    </row>
    <row r="13" spans="1:9" x14ac:dyDescent="0.2">
      <c r="A13" t="s">
        <v>116</v>
      </c>
      <c r="B13" t="s">
        <v>29</v>
      </c>
      <c r="C13" t="s">
        <v>30</v>
      </c>
      <c r="D13" t="s">
        <v>31</v>
      </c>
      <c r="E13" s="1">
        <v>125</v>
      </c>
      <c r="F13" s="1">
        <v>1780</v>
      </c>
      <c r="G13">
        <v>9</v>
      </c>
      <c r="H13" s="4">
        <v>44539</v>
      </c>
      <c r="I13">
        <f>YEAR(Table1[[#This Row],[RentDate]])</f>
        <v>2021</v>
      </c>
    </row>
    <row r="14" spans="1:9" x14ac:dyDescent="0.2">
      <c r="A14" t="s">
        <v>118</v>
      </c>
      <c r="B14" t="s">
        <v>29</v>
      </c>
      <c r="C14" t="s">
        <v>30</v>
      </c>
      <c r="D14" t="s">
        <v>31</v>
      </c>
      <c r="E14" s="1">
        <v>125</v>
      </c>
      <c r="F14" s="1">
        <v>1780</v>
      </c>
      <c r="G14">
        <v>8</v>
      </c>
      <c r="H14" s="4">
        <v>44267</v>
      </c>
      <c r="I14">
        <f>YEAR(Table1[[#This Row],[RentDate]])</f>
        <v>2021</v>
      </c>
    </row>
    <row r="15" spans="1:9" x14ac:dyDescent="0.2">
      <c r="A15" t="s">
        <v>129</v>
      </c>
      <c r="B15" t="s">
        <v>29</v>
      </c>
      <c r="C15" t="s">
        <v>30</v>
      </c>
      <c r="D15" t="s">
        <v>31</v>
      </c>
      <c r="E15" s="1">
        <v>125</v>
      </c>
      <c r="F15" s="1">
        <v>1780</v>
      </c>
      <c r="G15">
        <v>5</v>
      </c>
      <c r="H15" s="4">
        <v>44472</v>
      </c>
      <c r="I15">
        <f>YEAR(Table1[[#This Row],[RentDate]])</f>
        <v>2021</v>
      </c>
    </row>
    <row r="16" spans="1:9" x14ac:dyDescent="0.2">
      <c r="A16" t="s">
        <v>150</v>
      </c>
      <c r="B16" t="s">
        <v>29</v>
      </c>
      <c r="C16" t="s">
        <v>30</v>
      </c>
      <c r="D16" t="s">
        <v>31</v>
      </c>
      <c r="E16" s="1">
        <v>125</v>
      </c>
      <c r="F16" s="1">
        <v>1780</v>
      </c>
      <c r="G16">
        <v>9</v>
      </c>
      <c r="H16" s="4">
        <v>44687</v>
      </c>
      <c r="I16">
        <f>YEAR(Table1[[#This Row],[RentDate]])</f>
        <v>2022</v>
      </c>
    </row>
    <row r="17" spans="1:9" x14ac:dyDescent="0.2">
      <c r="A17" t="s">
        <v>32</v>
      </c>
      <c r="B17" t="s">
        <v>33</v>
      </c>
      <c r="C17" t="s">
        <v>34</v>
      </c>
      <c r="D17" t="s">
        <v>35</v>
      </c>
      <c r="E17" s="1">
        <v>150</v>
      </c>
      <c r="F17" s="1">
        <v>1590</v>
      </c>
      <c r="G17">
        <v>5</v>
      </c>
      <c r="H17" s="4">
        <v>44661</v>
      </c>
      <c r="I17">
        <f>YEAR(Table1[[#This Row],[RentDate]])</f>
        <v>2022</v>
      </c>
    </row>
    <row r="18" spans="1:9" x14ac:dyDescent="0.2">
      <c r="A18" t="s">
        <v>84</v>
      </c>
      <c r="B18" t="s">
        <v>33</v>
      </c>
      <c r="C18" t="s">
        <v>34</v>
      </c>
      <c r="D18" t="s">
        <v>35</v>
      </c>
      <c r="E18" s="1">
        <v>150</v>
      </c>
      <c r="F18" s="1">
        <v>1590</v>
      </c>
      <c r="G18">
        <v>5</v>
      </c>
      <c r="H18" s="4">
        <v>44349</v>
      </c>
      <c r="I18">
        <f>YEAR(Table1[[#This Row],[RentDate]])</f>
        <v>2021</v>
      </c>
    </row>
    <row r="19" spans="1:9" x14ac:dyDescent="0.2">
      <c r="A19" t="s">
        <v>86</v>
      </c>
      <c r="B19" t="s">
        <v>33</v>
      </c>
      <c r="C19" t="s">
        <v>34</v>
      </c>
      <c r="D19" t="s">
        <v>35</v>
      </c>
      <c r="E19" s="1">
        <v>150</v>
      </c>
      <c r="F19" s="1">
        <v>1590</v>
      </c>
      <c r="G19">
        <v>8</v>
      </c>
      <c r="H19" s="4">
        <v>44683</v>
      </c>
      <c r="I19">
        <f>YEAR(Table1[[#This Row],[RentDate]])</f>
        <v>2022</v>
      </c>
    </row>
    <row r="20" spans="1:9" x14ac:dyDescent="0.2">
      <c r="A20" t="s">
        <v>117</v>
      </c>
      <c r="B20" t="s">
        <v>33</v>
      </c>
      <c r="C20" t="s">
        <v>34</v>
      </c>
      <c r="D20" t="s">
        <v>35</v>
      </c>
      <c r="E20" s="1">
        <v>150</v>
      </c>
      <c r="F20" s="1">
        <v>1590</v>
      </c>
      <c r="G20">
        <v>7</v>
      </c>
      <c r="H20" s="4">
        <v>44562</v>
      </c>
      <c r="I20">
        <f>YEAR(Table1[[#This Row],[RentDate]])</f>
        <v>2022</v>
      </c>
    </row>
    <row r="21" spans="1:9" x14ac:dyDescent="0.2">
      <c r="A21" t="s">
        <v>119</v>
      </c>
      <c r="B21" t="s">
        <v>33</v>
      </c>
      <c r="C21" t="s">
        <v>34</v>
      </c>
      <c r="D21" t="s">
        <v>35</v>
      </c>
      <c r="E21" s="1">
        <v>150</v>
      </c>
      <c r="F21" s="1">
        <v>1590</v>
      </c>
      <c r="G21">
        <v>5</v>
      </c>
      <c r="H21" s="4">
        <v>44218</v>
      </c>
      <c r="I21">
        <f>YEAR(Table1[[#This Row],[RentDate]])</f>
        <v>2021</v>
      </c>
    </row>
    <row r="22" spans="1:9" x14ac:dyDescent="0.2">
      <c r="A22" t="s">
        <v>130</v>
      </c>
      <c r="B22" t="s">
        <v>33</v>
      </c>
      <c r="C22" t="s">
        <v>34</v>
      </c>
      <c r="D22" t="s">
        <v>35</v>
      </c>
      <c r="E22" s="1">
        <v>150</v>
      </c>
      <c r="F22" s="1">
        <v>1590</v>
      </c>
      <c r="G22">
        <v>8</v>
      </c>
      <c r="H22" s="4">
        <v>44553</v>
      </c>
      <c r="I22">
        <f>YEAR(Table1[[#This Row],[RentDate]])</f>
        <v>2021</v>
      </c>
    </row>
    <row r="23" spans="1:9" x14ac:dyDescent="0.2">
      <c r="A23" t="s">
        <v>143</v>
      </c>
      <c r="B23" t="s">
        <v>33</v>
      </c>
      <c r="C23" t="s">
        <v>34</v>
      </c>
      <c r="D23" t="s">
        <v>35</v>
      </c>
      <c r="E23" s="1">
        <v>150</v>
      </c>
      <c r="F23" s="1">
        <v>1590</v>
      </c>
      <c r="G23">
        <v>11</v>
      </c>
      <c r="H23" s="4">
        <v>44642</v>
      </c>
      <c r="I23">
        <f>YEAR(Table1[[#This Row],[RentDate]])</f>
        <v>2022</v>
      </c>
    </row>
    <row r="24" spans="1:9" x14ac:dyDescent="0.2">
      <c r="A24" t="s">
        <v>151</v>
      </c>
      <c r="B24" t="s">
        <v>33</v>
      </c>
      <c r="C24" t="s">
        <v>34</v>
      </c>
      <c r="D24" t="s">
        <v>35</v>
      </c>
      <c r="E24" s="1">
        <v>150</v>
      </c>
      <c r="F24" s="1">
        <v>1590</v>
      </c>
      <c r="G24">
        <v>12</v>
      </c>
      <c r="H24" s="4">
        <v>44289</v>
      </c>
      <c r="I24">
        <f>YEAR(Table1[[#This Row],[RentDate]])</f>
        <v>2021</v>
      </c>
    </row>
    <row r="25" spans="1:9" x14ac:dyDescent="0.2">
      <c r="A25" t="s">
        <v>36</v>
      </c>
      <c r="B25" t="s">
        <v>37</v>
      </c>
      <c r="C25" t="s">
        <v>38</v>
      </c>
      <c r="D25" t="s">
        <v>39</v>
      </c>
      <c r="E25" s="1">
        <v>250</v>
      </c>
      <c r="F25" s="1">
        <v>2850</v>
      </c>
      <c r="G25">
        <v>7</v>
      </c>
      <c r="H25" s="4">
        <v>44720</v>
      </c>
      <c r="I25">
        <f>YEAR(Table1[[#This Row],[RentDate]])</f>
        <v>2022</v>
      </c>
    </row>
    <row r="26" spans="1:9" x14ac:dyDescent="0.2">
      <c r="A26" t="s">
        <v>87</v>
      </c>
      <c r="B26" t="s">
        <v>37</v>
      </c>
      <c r="C26" t="s">
        <v>38</v>
      </c>
      <c r="D26" t="s">
        <v>39</v>
      </c>
      <c r="E26" s="1">
        <v>250</v>
      </c>
      <c r="F26" s="1">
        <v>2850</v>
      </c>
      <c r="G26">
        <v>13</v>
      </c>
      <c r="H26" s="4">
        <v>44724</v>
      </c>
      <c r="I26">
        <f>YEAR(Table1[[#This Row],[RentDate]])</f>
        <v>2022</v>
      </c>
    </row>
    <row r="27" spans="1:9" x14ac:dyDescent="0.2">
      <c r="A27" t="s">
        <v>120</v>
      </c>
      <c r="B27" t="s">
        <v>37</v>
      </c>
      <c r="C27" t="s">
        <v>38</v>
      </c>
      <c r="D27" t="s">
        <v>39</v>
      </c>
      <c r="E27" s="1">
        <v>250</v>
      </c>
      <c r="F27" s="1">
        <v>2850</v>
      </c>
      <c r="G27">
        <v>10</v>
      </c>
      <c r="H27" s="4">
        <v>44604</v>
      </c>
      <c r="I27">
        <f>YEAR(Table1[[#This Row],[RentDate]])</f>
        <v>2022</v>
      </c>
    </row>
    <row r="28" spans="1:9" x14ac:dyDescent="0.2">
      <c r="A28" t="s">
        <v>131</v>
      </c>
      <c r="B28" t="s">
        <v>37</v>
      </c>
      <c r="C28" t="s">
        <v>38</v>
      </c>
      <c r="D28" t="s">
        <v>39</v>
      </c>
      <c r="E28" s="1">
        <v>250</v>
      </c>
      <c r="F28" s="1">
        <v>2850</v>
      </c>
      <c r="G28">
        <v>7</v>
      </c>
      <c r="H28" s="4">
        <v>44378</v>
      </c>
      <c r="I28">
        <f>YEAR(Table1[[#This Row],[RentDate]])</f>
        <v>2021</v>
      </c>
    </row>
    <row r="29" spans="1:9" x14ac:dyDescent="0.2">
      <c r="A29" t="s">
        <v>144</v>
      </c>
      <c r="B29" t="s">
        <v>37</v>
      </c>
      <c r="C29" t="s">
        <v>38</v>
      </c>
      <c r="D29" t="s">
        <v>39</v>
      </c>
      <c r="E29" s="1">
        <v>250</v>
      </c>
      <c r="F29" s="1">
        <v>2850</v>
      </c>
      <c r="G29">
        <v>7</v>
      </c>
      <c r="H29" s="4">
        <v>44297</v>
      </c>
      <c r="I29">
        <f>YEAR(Table1[[#This Row],[RentDate]])</f>
        <v>2021</v>
      </c>
    </row>
    <row r="30" spans="1:9" x14ac:dyDescent="0.2">
      <c r="A30" t="s">
        <v>17</v>
      </c>
      <c r="B30" t="s">
        <v>18</v>
      </c>
      <c r="C30" t="s">
        <v>19</v>
      </c>
      <c r="D30" t="s">
        <v>20</v>
      </c>
      <c r="E30" s="1">
        <v>250</v>
      </c>
      <c r="F30" s="1">
        <v>2750</v>
      </c>
      <c r="G30">
        <v>7</v>
      </c>
      <c r="H30" s="4">
        <v>44291</v>
      </c>
      <c r="I30">
        <f>YEAR(Table1[[#This Row],[RentDate]])</f>
        <v>2021</v>
      </c>
    </row>
    <row r="31" spans="1:9" x14ac:dyDescent="0.2">
      <c r="A31" t="s">
        <v>77</v>
      </c>
      <c r="B31" t="s">
        <v>18</v>
      </c>
      <c r="C31" t="s">
        <v>19</v>
      </c>
      <c r="D31" t="s">
        <v>20</v>
      </c>
      <c r="E31" s="1">
        <v>250</v>
      </c>
      <c r="F31" s="1">
        <v>2750</v>
      </c>
      <c r="G31">
        <v>8</v>
      </c>
      <c r="H31" s="4">
        <v>44622</v>
      </c>
      <c r="I31">
        <f>YEAR(Table1[[#This Row],[RentDate]])</f>
        <v>2022</v>
      </c>
    </row>
    <row r="32" spans="1:9" x14ac:dyDescent="0.2">
      <c r="A32" t="s">
        <v>80</v>
      </c>
      <c r="B32" t="s">
        <v>18</v>
      </c>
      <c r="C32" t="s">
        <v>19</v>
      </c>
      <c r="D32" t="s">
        <v>20</v>
      </c>
      <c r="E32" s="1">
        <v>250</v>
      </c>
      <c r="F32" s="1">
        <v>2750</v>
      </c>
      <c r="G32">
        <v>5</v>
      </c>
      <c r="H32" s="4">
        <v>44371</v>
      </c>
      <c r="I32">
        <f>YEAR(Table1[[#This Row],[RentDate]])</f>
        <v>2021</v>
      </c>
    </row>
    <row r="33" spans="1:9" x14ac:dyDescent="0.2">
      <c r="A33" t="s">
        <v>113</v>
      </c>
      <c r="B33" t="s">
        <v>18</v>
      </c>
      <c r="C33" t="s">
        <v>19</v>
      </c>
      <c r="D33" t="s">
        <v>20</v>
      </c>
      <c r="E33" s="1">
        <v>250</v>
      </c>
      <c r="F33" s="1">
        <v>2750</v>
      </c>
      <c r="G33">
        <v>11</v>
      </c>
      <c r="H33" s="4">
        <v>44612</v>
      </c>
      <c r="I33">
        <f>YEAR(Table1[[#This Row],[RentDate]])</f>
        <v>2022</v>
      </c>
    </row>
    <row r="34" spans="1:9" x14ac:dyDescent="0.2">
      <c r="A34" t="s">
        <v>138</v>
      </c>
      <c r="B34" t="s">
        <v>18</v>
      </c>
      <c r="C34" t="s">
        <v>19</v>
      </c>
      <c r="D34" t="s">
        <v>20</v>
      </c>
      <c r="E34" s="1">
        <v>250</v>
      </c>
      <c r="F34" s="1">
        <v>2750</v>
      </c>
      <c r="G34">
        <v>11</v>
      </c>
      <c r="H34" s="4">
        <v>44678</v>
      </c>
      <c r="I34">
        <f>YEAR(Table1[[#This Row],[RentDate]])</f>
        <v>2022</v>
      </c>
    </row>
    <row r="35" spans="1:9" x14ac:dyDescent="0.2">
      <c r="A35" t="s">
        <v>147</v>
      </c>
      <c r="B35" t="s">
        <v>18</v>
      </c>
      <c r="C35" t="s">
        <v>19</v>
      </c>
      <c r="D35" t="s">
        <v>20</v>
      </c>
      <c r="E35" s="1">
        <v>250</v>
      </c>
      <c r="F35" s="1">
        <v>2750</v>
      </c>
      <c r="G35">
        <v>11</v>
      </c>
      <c r="H35" s="4">
        <v>44722</v>
      </c>
      <c r="I35">
        <f>YEAR(Table1[[#This Row],[RentDate]])</f>
        <v>2022</v>
      </c>
    </row>
    <row r="36" spans="1:9" x14ac:dyDescent="0.2">
      <c r="A36" t="s">
        <v>14</v>
      </c>
      <c r="B36" t="s">
        <v>15</v>
      </c>
      <c r="C36" t="s">
        <v>16</v>
      </c>
      <c r="D36" t="s">
        <v>9</v>
      </c>
      <c r="E36" s="1">
        <v>200</v>
      </c>
      <c r="F36" s="1">
        <v>3980</v>
      </c>
      <c r="G36">
        <v>8</v>
      </c>
      <c r="H36" s="4">
        <v>44455</v>
      </c>
      <c r="I36">
        <f>YEAR(Table1[[#This Row],[RentDate]])</f>
        <v>2021</v>
      </c>
    </row>
    <row r="37" spans="1:9" x14ac:dyDescent="0.2">
      <c r="A37" t="s">
        <v>76</v>
      </c>
      <c r="B37" t="s">
        <v>15</v>
      </c>
      <c r="C37" t="s">
        <v>16</v>
      </c>
      <c r="D37" t="s">
        <v>9</v>
      </c>
      <c r="E37" s="1">
        <v>200</v>
      </c>
      <c r="F37" s="1">
        <v>3980</v>
      </c>
      <c r="G37">
        <v>10</v>
      </c>
      <c r="H37" s="4">
        <v>44290</v>
      </c>
      <c r="I37">
        <f>YEAR(Table1[[#This Row],[RentDate]])</f>
        <v>2021</v>
      </c>
    </row>
    <row r="38" spans="1:9" x14ac:dyDescent="0.2">
      <c r="A38" t="s">
        <v>79</v>
      </c>
      <c r="B38" t="s">
        <v>15</v>
      </c>
      <c r="C38" t="s">
        <v>16</v>
      </c>
      <c r="D38" t="s">
        <v>9</v>
      </c>
      <c r="E38" s="1">
        <v>200</v>
      </c>
      <c r="F38" s="1">
        <v>3980</v>
      </c>
      <c r="G38">
        <v>13</v>
      </c>
      <c r="H38" s="4">
        <v>44486</v>
      </c>
      <c r="I38">
        <f>YEAR(Table1[[#This Row],[RentDate]])</f>
        <v>2021</v>
      </c>
    </row>
    <row r="39" spans="1:9" x14ac:dyDescent="0.2">
      <c r="A39" t="s">
        <v>104</v>
      </c>
      <c r="B39" t="s">
        <v>15</v>
      </c>
      <c r="C39" t="s">
        <v>16</v>
      </c>
      <c r="D39" t="s">
        <v>9</v>
      </c>
      <c r="E39" s="1">
        <v>200</v>
      </c>
      <c r="F39" s="1">
        <v>3980</v>
      </c>
      <c r="G39">
        <v>9</v>
      </c>
      <c r="H39" s="4">
        <v>44450</v>
      </c>
      <c r="I39">
        <f>YEAR(Table1[[#This Row],[RentDate]])</f>
        <v>2021</v>
      </c>
    </row>
    <row r="40" spans="1:9" x14ac:dyDescent="0.2">
      <c r="A40" t="s">
        <v>112</v>
      </c>
      <c r="B40" t="s">
        <v>15</v>
      </c>
      <c r="C40" t="s">
        <v>16</v>
      </c>
      <c r="D40" t="s">
        <v>9</v>
      </c>
      <c r="E40" s="1">
        <v>200</v>
      </c>
      <c r="F40" s="1">
        <v>3980</v>
      </c>
      <c r="G40">
        <v>13</v>
      </c>
      <c r="H40" s="4">
        <v>44707</v>
      </c>
      <c r="I40">
        <f>YEAR(Table1[[#This Row],[RentDate]])</f>
        <v>2022</v>
      </c>
    </row>
    <row r="41" spans="1:9" x14ac:dyDescent="0.2">
      <c r="A41" t="s">
        <v>137</v>
      </c>
      <c r="B41" t="s">
        <v>15</v>
      </c>
      <c r="C41" t="s">
        <v>16</v>
      </c>
      <c r="D41" t="s">
        <v>9</v>
      </c>
      <c r="E41" s="1">
        <v>200</v>
      </c>
      <c r="F41" s="1">
        <v>3980</v>
      </c>
      <c r="G41">
        <v>9</v>
      </c>
      <c r="H41" s="4">
        <v>44299</v>
      </c>
      <c r="I41">
        <f>YEAR(Table1[[#This Row],[RentDate]])</f>
        <v>2021</v>
      </c>
    </row>
    <row r="42" spans="1:9" x14ac:dyDescent="0.2">
      <c r="A42" t="s">
        <v>63</v>
      </c>
      <c r="B42" t="s">
        <v>15</v>
      </c>
      <c r="C42" t="s">
        <v>64</v>
      </c>
      <c r="D42" t="s">
        <v>39</v>
      </c>
      <c r="E42" s="1">
        <v>175</v>
      </c>
      <c r="F42" s="1">
        <v>4290</v>
      </c>
      <c r="G42">
        <v>8</v>
      </c>
      <c r="H42" s="4">
        <v>44692</v>
      </c>
      <c r="I42">
        <f>YEAR(Table1[[#This Row],[RentDate]])</f>
        <v>2022</v>
      </c>
    </row>
    <row r="43" spans="1:9" x14ac:dyDescent="0.2">
      <c r="A43" t="s">
        <v>95</v>
      </c>
      <c r="B43" t="s">
        <v>15</v>
      </c>
      <c r="C43" t="s">
        <v>64</v>
      </c>
      <c r="D43" t="s">
        <v>39</v>
      </c>
      <c r="E43" s="1">
        <v>175</v>
      </c>
      <c r="F43" s="1">
        <v>4290</v>
      </c>
      <c r="G43">
        <v>8</v>
      </c>
      <c r="H43" s="4">
        <v>44350</v>
      </c>
      <c r="I43">
        <f>YEAR(Table1[[#This Row],[RentDate]])</f>
        <v>2021</v>
      </c>
    </row>
    <row r="44" spans="1:9" x14ac:dyDescent="0.2">
      <c r="A44" t="s">
        <v>98</v>
      </c>
      <c r="B44" t="s">
        <v>15</v>
      </c>
      <c r="C44" t="s">
        <v>64</v>
      </c>
      <c r="D44" t="s">
        <v>39</v>
      </c>
      <c r="E44" s="1">
        <v>175</v>
      </c>
      <c r="F44" s="1">
        <v>4290</v>
      </c>
      <c r="G44">
        <v>7</v>
      </c>
      <c r="H44" s="4">
        <v>44201</v>
      </c>
      <c r="I44">
        <f>YEAR(Table1[[#This Row],[RentDate]])</f>
        <v>2021</v>
      </c>
    </row>
    <row r="45" spans="1:9" x14ac:dyDescent="0.2">
      <c r="A45" t="s">
        <v>110</v>
      </c>
      <c r="B45" t="s">
        <v>15</v>
      </c>
      <c r="C45" t="s">
        <v>64</v>
      </c>
      <c r="D45" t="s">
        <v>39</v>
      </c>
      <c r="E45" s="1">
        <v>175</v>
      </c>
      <c r="F45" s="1">
        <v>4290</v>
      </c>
      <c r="G45">
        <v>12</v>
      </c>
      <c r="H45" s="4">
        <v>44288</v>
      </c>
      <c r="I45">
        <f>YEAR(Table1[[#This Row],[RentDate]])</f>
        <v>2021</v>
      </c>
    </row>
    <row r="46" spans="1:9" x14ac:dyDescent="0.2">
      <c r="A46" t="s">
        <v>123</v>
      </c>
      <c r="B46" t="s">
        <v>15</v>
      </c>
      <c r="C46" t="s">
        <v>64</v>
      </c>
      <c r="D46" t="s">
        <v>39</v>
      </c>
      <c r="E46" s="1">
        <v>175</v>
      </c>
      <c r="F46" s="1">
        <v>4290</v>
      </c>
      <c r="G46">
        <v>12</v>
      </c>
      <c r="H46" s="4">
        <v>44295</v>
      </c>
      <c r="I46">
        <f>YEAR(Table1[[#This Row],[RentDate]])</f>
        <v>2021</v>
      </c>
    </row>
    <row r="47" spans="1:9" x14ac:dyDescent="0.2">
      <c r="A47" t="s">
        <v>135</v>
      </c>
      <c r="B47" t="s">
        <v>15</v>
      </c>
      <c r="C47" t="s">
        <v>64</v>
      </c>
      <c r="D47" t="s">
        <v>39</v>
      </c>
      <c r="E47" s="1">
        <v>175</v>
      </c>
      <c r="F47" s="1">
        <v>4290</v>
      </c>
      <c r="G47">
        <v>12</v>
      </c>
      <c r="H47" s="4">
        <v>44657</v>
      </c>
      <c r="I47">
        <f>YEAR(Table1[[#This Row],[RentDate]])</f>
        <v>2022</v>
      </c>
    </row>
    <row r="48" spans="1:9" x14ac:dyDescent="0.2">
      <c r="A48" t="s">
        <v>140</v>
      </c>
      <c r="B48" t="s">
        <v>15</v>
      </c>
      <c r="C48" t="s">
        <v>64</v>
      </c>
      <c r="D48" t="s">
        <v>39</v>
      </c>
      <c r="E48" s="1">
        <v>175</v>
      </c>
      <c r="F48" s="1">
        <v>4290</v>
      </c>
      <c r="G48">
        <v>5</v>
      </c>
      <c r="H48" s="4">
        <v>44683</v>
      </c>
      <c r="I48">
        <f>YEAR(Table1[[#This Row],[RentDate]])</f>
        <v>2022</v>
      </c>
    </row>
    <row r="49" spans="1:9" x14ac:dyDescent="0.2">
      <c r="A49" t="s">
        <v>40</v>
      </c>
      <c r="B49" t="s">
        <v>41</v>
      </c>
      <c r="C49" t="s">
        <v>42</v>
      </c>
      <c r="D49" t="s">
        <v>43</v>
      </c>
      <c r="E49" s="1">
        <v>190</v>
      </c>
      <c r="F49" s="1">
        <v>3295</v>
      </c>
      <c r="G49">
        <v>10</v>
      </c>
      <c r="H49" s="4">
        <v>44396</v>
      </c>
      <c r="I49">
        <f>YEAR(Table1[[#This Row],[RentDate]])</f>
        <v>2021</v>
      </c>
    </row>
    <row r="50" spans="1:9" x14ac:dyDescent="0.2">
      <c r="A50" t="s">
        <v>88</v>
      </c>
      <c r="B50" t="s">
        <v>41</v>
      </c>
      <c r="C50" t="s">
        <v>42</v>
      </c>
      <c r="D50" t="s">
        <v>43</v>
      </c>
      <c r="E50" s="1">
        <v>190</v>
      </c>
      <c r="F50" s="1">
        <v>3295</v>
      </c>
      <c r="G50">
        <v>5</v>
      </c>
      <c r="H50" s="4">
        <v>44496</v>
      </c>
      <c r="I50">
        <f>YEAR(Table1[[#This Row],[RentDate]])</f>
        <v>2021</v>
      </c>
    </row>
    <row r="51" spans="1:9" x14ac:dyDescent="0.2">
      <c r="A51" t="s">
        <v>121</v>
      </c>
      <c r="B51" t="s">
        <v>41</v>
      </c>
      <c r="C51" t="s">
        <v>42</v>
      </c>
      <c r="D51" t="s">
        <v>43</v>
      </c>
      <c r="E51" s="1">
        <v>190</v>
      </c>
      <c r="F51" s="1">
        <v>3295</v>
      </c>
      <c r="G51">
        <v>10</v>
      </c>
      <c r="H51" s="4">
        <v>44474</v>
      </c>
      <c r="I51">
        <f>YEAR(Table1[[#This Row],[RentDate]])</f>
        <v>2021</v>
      </c>
    </row>
    <row r="52" spans="1:9" x14ac:dyDescent="0.2">
      <c r="A52" t="s">
        <v>132</v>
      </c>
      <c r="B52" t="s">
        <v>41</v>
      </c>
      <c r="C52" t="s">
        <v>42</v>
      </c>
      <c r="D52" t="s">
        <v>43</v>
      </c>
      <c r="E52" s="1">
        <v>190</v>
      </c>
      <c r="F52" s="1">
        <v>3295</v>
      </c>
      <c r="G52">
        <v>7</v>
      </c>
      <c r="H52" s="4">
        <v>44612</v>
      </c>
      <c r="I52">
        <f>YEAR(Table1[[#This Row],[RentDate]])</f>
        <v>2022</v>
      </c>
    </row>
    <row r="53" spans="1:9" x14ac:dyDescent="0.2">
      <c r="A53" t="s">
        <v>145</v>
      </c>
      <c r="B53" t="s">
        <v>41</v>
      </c>
      <c r="C53" t="s">
        <v>42</v>
      </c>
      <c r="D53" t="s">
        <v>43</v>
      </c>
      <c r="E53" s="1">
        <v>190</v>
      </c>
      <c r="F53" s="1">
        <v>3295</v>
      </c>
      <c r="G53">
        <v>8</v>
      </c>
      <c r="H53" s="4">
        <v>44559</v>
      </c>
      <c r="I53">
        <f>YEAR(Table1[[#This Row],[RentDate]])</f>
        <v>2021</v>
      </c>
    </row>
    <row r="54" spans="1:9" x14ac:dyDescent="0.2">
      <c r="A54" t="s">
        <v>44</v>
      </c>
      <c r="B54" t="s">
        <v>45</v>
      </c>
      <c r="C54" t="s">
        <v>46</v>
      </c>
      <c r="D54" t="s">
        <v>43</v>
      </c>
      <c r="E54" s="1">
        <v>150</v>
      </c>
      <c r="F54" s="1">
        <v>4350</v>
      </c>
      <c r="G54">
        <v>5</v>
      </c>
      <c r="H54" s="4">
        <v>44581</v>
      </c>
      <c r="I54">
        <f>YEAR(Table1[[#This Row],[RentDate]])</f>
        <v>2022</v>
      </c>
    </row>
    <row r="55" spans="1:9" x14ac:dyDescent="0.2">
      <c r="A55" t="s">
        <v>89</v>
      </c>
      <c r="B55" t="s">
        <v>45</v>
      </c>
      <c r="C55" t="s">
        <v>46</v>
      </c>
      <c r="D55" t="s">
        <v>43</v>
      </c>
      <c r="E55" s="1">
        <v>150</v>
      </c>
      <c r="F55" s="1">
        <v>4350</v>
      </c>
      <c r="G55">
        <v>11</v>
      </c>
      <c r="H55" s="4">
        <v>44580</v>
      </c>
      <c r="I55">
        <f>YEAR(Table1[[#This Row],[RentDate]])</f>
        <v>2022</v>
      </c>
    </row>
    <row r="56" spans="1:9" x14ac:dyDescent="0.2">
      <c r="A56" t="s">
        <v>122</v>
      </c>
      <c r="B56" t="s">
        <v>45</v>
      </c>
      <c r="C56" t="s">
        <v>46</v>
      </c>
      <c r="D56" t="s">
        <v>43</v>
      </c>
      <c r="E56" s="1">
        <v>150</v>
      </c>
      <c r="F56" s="1">
        <v>4350</v>
      </c>
      <c r="G56">
        <v>7</v>
      </c>
      <c r="H56" s="4">
        <v>44655</v>
      </c>
      <c r="I56">
        <f>YEAR(Table1[[#This Row],[RentDate]])</f>
        <v>2022</v>
      </c>
    </row>
    <row r="57" spans="1:9" x14ac:dyDescent="0.2">
      <c r="A57" t="s">
        <v>133</v>
      </c>
      <c r="B57" t="s">
        <v>45</v>
      </c>
      <c r="C57" t="s">
        <v>46</v>
      </c>
      <c r="D57" t="s">
        <v>43</v>
      </c>
      <c r="E57" s="1">
        <v>150</v>
      </c>
      <c r="F57" s="1">
        <v>4350</v>
      </c>
      <c r="G57">
        <v>10</v>
      </c>
      <c r="H57" s="4">
        <v>44560</v>
      </c>
      <c r="I57">
        <f>YEAR(Table1[[#This Row],[RentDate]])</f>
        <v>2021</v>
      </c>
    </row>
    <row r="58" spans="1:9" x14ac:dyDescent="0.2">
      <c r="A58" t="s">
        <v>139</v>
      </c>
      <c r="B58" t="s">
        <v>45</v>
      </c>
      <c r="C58" t="s">
        <v>46</v>
      </c>
      <c r="D58" t="s">
        <v>43</v>
      </c>
      <c r="E58" s="1">
        <v>150</v>
      </c>
      <c r="F58" s="1">
        <v>4350</v>
      </c>
      <c r="G58">
        <v>9</v>
      </c>
      <c r="H58" s="4">
        <v>44340</v>
      </c>
      <c r="I58">
        <f>YEAR(Table1[[#This Row],[RentDate]])</f>
        <v>2021</v>
      </c>
    </row>
    <row r="59" spans="1:9" x14ac:dyDescent="0.2">
      <c r="A59" t="s">
        <v>146</v>
      </c>
      <c r="B59" t="s">
        <v>45</v>
      </c>
      <c r="C59" t="s">
        <v>46</v>
      </c>
      <c r="D59" t="s">
        <v>43</v>
      </c>
      <c r="E59" s="1">
        <v>150</v>
      </c>
      <c r="F59" s="1">
        <v>4350</v>
      </c>
      <c r="G59">
        <v>8</v>
      </c>
      <c r="H59" s="4">
        <v>44734</v>
      </c>
      <c r="I59">
        <f>YEAR(Table1[[#This Row],[RentDate]])</f>
        <v>2022</v>
      </c>
    </row>
    <row r="60" spans="1:9" x14ac:dyDescent="0.2">
      <c r="A60" t="s">
        <v>71</v>
      </c>
      <c r="B60" t="s">
        <v>45</v>
      </c>
      <c r="C60" t="s">
        <v>72</v>
      </c>
      <c r="D60" t="s">
        <v>73</v>
      </c>
      <c r="E60" s="1">
        <v>150</v>
      </c>
      <c r="F60" s="1">
        <v>1350</v>
      </c>
      <c r="G60">
        <v>9</v>
      </c>
      <c r="H60" s="4">
        <v>44338</v>
      </c>
      <c r="I60">
        <f>YEAR(Table1[[#This Row],[RentDate]])</f>
        <v>2021</v>
      </c>
    </row>
    <row r="61" spans="1:9" x14ac:dyDescent="0.2">
      <c r="A61" t="s">
        <v>101</v>
      </c>
      <c r="B61" t="s">
        <v>45</v>
      </c>
      <c r="C61" t="s">
        <v>72</v>
      </c>
      <c r="D61" t="s">
        <v>73</v>
      </c>
      <c r="E61" s="1">
        <v>150</v>
      </c>
      <c r="F61" s="1">
        <v>1350</v>
      </c>
      <c r="G61">
        <v>5</v>
      </c>
      <c r="H61" s="4">
        <v>44555</v>
      </c>
      <c r="I61">
        <f>YEAR(Table1[[#This Row],[RentDate]])</f>
        <v>2021</v>
      </c>
    </row>
    <row r="62" spans="1:9" x14ac:dyDescent="0.2">
      <c r="A62" t="s">
        <v>126</v>
      </c>
      <c r="B62" t="s">
        <v>45</v>
      </c>
      <c r="C62" t="s">
        <v>72</v>
      </c>
      <c r="D62" t="s">
        <v>73</v>
      </c>
      <c r="E62" s="1">
        <v>150</v>
      </c>
      <c r="F62" s="1">
        <v>1350</v>
      </c>
      <c r="G62">
        <v>11</v>
      </c>
      <c r="H62" s="4">
        <v>44612</v>
      </c>
      <c r="I62">
        <f>YEAR(Table1[[#This Row],[RentDate]])</f>
        <v>2022</v>
      </c>
    </row>
    <row r="63" spans="1:9" x14ac:dyDescent="0.2">
      <c r="A63" t="s">
        <v>153</v>
      </c>
      <c r="B63" t="s">
        <v>45</v>
      </c>
      <c r="C63" t="s">
        <v>72</v>
      </c>
      <c r="D63" t="s">
        <v>73</v>
      </c>
      <c r="E63" s="1">
        <v>150</v>
      </c>
      <c r="F63" s="1">
        <v>1350</v>
      </c>
      <c r="G63">
        <v>9</v>
      </c>
      <c r="H63" s="4">
        <v>44302</v>
      </c>
      <c r="I63">
        <f>YEAR(Table1[[#This Row],[RentDate]])</f>
        <v>2021</v>
      </c>
    </row>
    <row r="64" spans="1:9" x14ac:dyDescent="0.2">
      <c r="A64" t="s">
        <v>6</v>
      </c>
      <c r="B64" t="s">
        <v>7</v>
      </c>
      <c r="C64" t="s">
        <v>8</v>
      </c>
      <c r="D64" t="s">
        <v>9</v>
      </c>
      <c r="E64" s="1">
        <v>150</v>
      </c>
      <c r="F64" s="1">
        <v>3490</v>
      </c>
      <c r="G64">
        <v>6</v>
      </c>
      <c r="H64" s="4">
        <v>44448</v>
      </c>
      <c r="I64">
        <f>YEAR(Table1[[#This Row],[RentDate]])</f>
        <v>2021</v>
      </c>
    </row>
    <row r="65" spans="1:9" x14ac:dyDescent="0.2">
      <c r="A65" t="s">
        <v>74</v>
      </c>
      <c r="B65" t="s">
        <v>7</v>
      </c>
      <c r="C65" t="s">
        <v>8</v>
      </c>
      <c r="D65" t="s">
        <v>9</v>
      </c>
      <c r="E65" s="1">
        <v>150</v>
      </c>
      <c r="F65" s="1">
        <v>3490</v>
      </c>
      <c r="G65">
        <v>8</v>
      </c>
      <c r="H65" s="4">
        <v>44301</v>
      </c>
      <c r="I65">
        <f>YEAR(Table1[[#This Row],[RentDate]])</f>
        <v>2021</v>
      </c>
    </row>
    <row r="66" spans="1:9" x14ac:dyDescent="0.2">
      <c r="A66" t="s">
        <v>102</v>
      </c>
      <c r="B66" t="s">
        <v>7</v>
      </c>
      <c r="C66" t="s">
        <v>8</v>
      </c>
      <c r="D66" t="s">
        <v>9</v>
      </c>
      <c r="E66" s="1">
        <v>150</v>
      </c>
      <c r="F66" s="1">
        <v>3490</v>
      </c>
      <c r="G66">
        <v>6</v>
      </c>
      <c r="H66" s="4">
        <v>44683</v>
      </c>
      <c r="I66">
        <f>YEAR(Table1[[#This Row],[RentDate]])</f>
        <v>2022</v>
      </c>
    </row>
    <row r="67" spans="1:9" x14ac:dyDescent="0.2">
      <c r="A67" t="s">
        <v>127</v>
      </c>
      <c r="B67" t="s">
        <v>7</v>
      </c>
      <c r="C67" t="s">
        <v>8</v>
      </c>
      <c r="D67" t="s">
        <v>9</v>
      </c>
      <c r="E67" s="1">
        <v>150</v>
      </c>
      <c r="F67" s="1">
        <v>3490</v>
      </c>
      <c r="G67">
        <v>11</v>
      </c>
      <c r="H67" s="4">
        <v>44660</v>
      </c>
      <c r="I67">
        <f>YEAR(Table1[[#This Row],[RentDate]])</f>
        <v>2022</v>
      </c>
    </row>
    <row r="68" spans="1:9" x14ac:dyDescent="0.2">
      <c r="A68" t="s">
        <v>21</v>
      </c>
      <c r="B68" t="s">
        <v>22</v>
      </c>
      <c r="C68" t="s">
        <v>23</v>
      </c>
      <c r="D68" t="s">
        <v>20</v>
      </c>
      <c r="E68" s="1">
        <v>199</v>
      </c>
      <c r="F68" s="1">
        <v>3300</v>
      </c>
      <c r="G68">
        <v>8</v>
      </c>
      <c r="H68" s="4">
        <v>44227</v>
      </c>
      <c r="I68">
        <f>YEAR(Table1[[#This Row],[RentDate]])</f>
        <v>2021</v>
      </c>
    </row>
    <row r="69" spans="1:9" x14ac:dyDescent="0.2">
      <c r="A69" t="s">
        <v>78</v>
      </c>
      <c r="B69" t="s">
        <v>22</v>
      </c>
      <c r="C69" t="s">
        <v>23</v>
      </c>
      <c r="D69" t="s">
        <v>20</v>
      </c>
      <c r="E69" s="1">
        <v>199</v>
      </c>
      <c r="F69" s="1">
        <v>3300</v>
      </c>
      <c r="G69">
        <v>9</v>
      </c>
      <c r="H69" s="4">
        <v>44479</v>
      </c>
      <c r="I69">
        <f>YEAR(Table1[[#This Row],[RentDate]])</f>
        <v>2021</v>
      </c>
    </row>
    <row r="70" spans="1:9" x14ac:dyDescent="0.2">
      <c r="A70" t="s">
        <v>81</v>
      </c>
      <c r="B70" t="s">
        <v>22</v>
      </c>
      <c r="C70" t="s">
        <v>23</v>
      </c>
      <c r="D70" t="s">
        <v>20</v>
      </c>
      <c r="E70" s="1">
        <v>199</v>
      </c>
      <c r="F70" s="1">
        <v>3300</v>
      </c>
      <c r="G70">
        <v>13</v>
      </c>
      <c r="H70" s="4">
        <v>44208</v>
      </c>
      <c r="I70">
        <f>YEAR(Table1[[#This Row],[RentDate]])</f>
        <v>2021</v>
      </c>
    </row>
    <row r="71" spans="1:9" x14ac:dyDescent="0.2">
      <c r="A71" t="s">
        <v>111</v>
      </c>
      <c r="B71" t="s">
        <v>22</v>
      </c>
      <c r="C71" t="s">
        <v>23</v>
      </c>
      <c r="D71" t="s">
        <v>20</v>
      </c>
      <c r="E71" s="1">
        <v>199</v>
      </c>
      <c r="F71" s="1">
        <v>3300</v>
      </c>
      <c r="G71">
        <v>11</v>
      </c>
      <c r="H71" s="4">
        <v>44215</v>
      </c>
      <c r="I71">
        <f>YEAR(Table1[[#This Row],[RentDate]])</f>
        <v>2021</v>
      </c>
    </row>
    <row r="72" spans="1:9" x14ac:dyDescent="0.2">
      <c r="A72" t="s">
        <v>114</v>
      </c>
      <c r="B72" t="s">
        <v>22</v>
      </c>
      <c r="C72" t="s">
        <v>23</v>
      </c>
      <c r="D72" t="s">
        <v>20</v>
      </c>
      <c r="E72" s="1">
        <v>199</v>
      </c>
      <c r="F72" s="1">
        <v>3300</v>
      </c>
      <c r="G72">
        <v>5</v>
      </c>
      <c r="H72" s="4">
        <v>44577</v>
      </c>
      <c r="I72">
        <f>YEAR(Table1[[#This Row],[RentDate]])</f>
        <v>2022</v>
      </c>
    </row>
    <row r="73" spans="1:9" x14ac:dyDescent="0.2">
      <c r="A73" t="s">
        <v>136</v>
      </c>
      <c r="B73" t="s">
        <v>22</v>
      </c>
      <c r="C73" t="s">
        <v>23</v>
      </c>
      <c r="D73" t="s">
        <v>20</v>
      </c>
      <c r="E73" s="1">
        <v>199</v>
      </c>
      <c r="F73" s="1">
        <v>3300</v>
      </c>
      <c r="G73">
        <v>11</v>
      </c>
      <c r="H73" s="4">
        <v>44562</v>
      </c>
      <c r="I73">
        <f>YEAR(Table1[[#This Row],[RentDate]])</f>
        <v>2022</v>
      </c>
    </row>
    <row r="74" spans="1:9" x14ac:dyDescent="0.2">
      <c r="A74" t="s">
        <v>148</v>
      </c>
      <c r="B74" t="s">
        <v>22</v>
      </c>
      <c r="C74" t="s">
        <v>23</v>
      </c>
      <c r="D74" t="s">
        <v>20</v>
      </c>
      <c r="E74" s="1">
        <v>199</v>
      </c>
      <c r="F74" s="1">
        <v>3300</v>
      </c>
      <c r="G74">
        <v>10</v>
      </c>
      <c r="H74" s="4">
        <v>44591</v>
      </c>
      <c r="I74">
        <f>YEAR(Table1[[#This Row],[RentDate]])</f>
        <v>2022</v>
      </c>
    </row>
    <row r="75" spans="1:9" x14ac:dyDescent="0.2">
      <c r="A75" t="s">
        <v>65</v>
      </c>
      <c r="B75" t="s">
        <v>48</v>
      </c>
      <c r="C75" t="s">
        <v>66</v>
      </c>
      <c r="D75" t="s">
        <v>67</v>
      </c>
      <c r="E75" s="1">
        <v>195</v>
      </c>
      <c r="F75" s="1">
        <v>3980</v>
      </c>
      <c r="G75">
        <v>6</v>
      </c>
      <c r="H75" s="4">
        <v>44273</v>
      </c>
      <c r="I75">
        <f>YEAR(Table1[[#This Row],[RentDate]])</f>
        <v>2021</v>
      </c>
    </row>
    <row r="76" spans="1:9" x14ac:dyDescent="0.2">
      <c r="A76" t="s">
        <v>96</v>
      </c>
      <c r="B76" t="s">
        <v>48</v>
      </c>
      <c r="C76" t="s">
        <v>66</v>
      </c>
      <c r="D76" t="s">
        <v>67</v>
      </c>
      <c r="E76" s="1">
        <v>195</v>
      </c>
      <c r="F76" s="1">
        <v>3980</v>
      </c>
      <c r="G76">
        <v>7</v>
      </c>
      <c r="H76" s="4">
        <v>44490</v>
      </c>
      <c r="I76">
        <f>YEAR(Table1[[#This Row],[RentDate]])</f>
        <v>2021</v>
      </c>
    </row>
    <row r="77" spans="1:9" x14ac:dyDescent="0.2">
      <c r="A77" t="s">
        <v>99</v>
      </c>
      <c r="B77" t="s">
        <v>48</v>
      </c>
      <c r="C77" t="s">
        <v>66</v>
      </c>
      <c r="D77" t="s">
        <v>67</v>
      </c>
      <c r="E77" s="1">
        <v>195</v>
      </c>
      <c r="F77" s="1">
        <v>3980</v>
      </c>
      <c r="G77">
        <v>12</v>
      </c>
      <c r="H77" s="4">
        <v>44221</v>
      </c>
      <c r="I77">
        <f>YEAR(Table1[[#This Row],[RentDate]])</f>
        <v>2021</v>
      </c>
    </row>
    <row r="78" spans="1:9" x14ac:dyDescent="0.2">
      <c r="A78" t="s">
        <v>124</v>
      </c>
      <c r="B78" t="s">
        <v>48</v>
      </c>
      <c r="C78" t="s">
        <v>66</v>
      </c>
      <c r="D78" t="s">
        <v>67</v>
      </c>
      <c r="E78" s="1">
        <v>195</v>
      </c>
      <c r="F78" s="1">
        <v>3980</v>
      </c>
      <c r="G78">
        <v>13</v>
      </c>
      <c r="H78" s="4">
        <v>44514</v>
      </c>
      <c r="I78">
        <f>YEAR(Table1[[#This Row],[RentDate]])</f>
        <v>2021</v>
      </c>
    </row>
    <row r="79" spans="1:9" x14ac:dyDescent="0.2">
      <c r="A79" t="s">
        <v>141</v>
      </c>
      <c r="B79" t="s">
        <v>48</v>
      </c>
      <c r="C79" t="s">
        <v>66</v>
      </c>
      <c r="D79" t="s">
        <v>67</v>
      </c>
      <c r="E79" s="1">
        <v>195</v>
      </c>
      <c r="F79" s="1">
        <v>3980</v>
      </c>
      <c r="G79">
        <v>13</v>
      </c>
      <c r="H79" s="4">
        <v>44250</v>
      </c>
      <c r="I79">
        <f>YEAR(Table1[[#This Row],[RentDate]])</f>
        <v>2021</v>
      </c>
    </row>
    <row r="80" spans="1:9" x14ac:dyDescent="0.2">
      <c r="A80" t="s">
        <v>47</v>
      </c>
      <c r="B80" t="s">
        <v>48</v>
      </c>
      <c r="C80" t="s">
        <v>49</v>
      </c>
      <c r="D80" t="s">
        <v>50</v>
      </c>
      <c r="E80" s="1">
        <v>100</v>
      </c>
      <c r="F80" s="1">
        <v>3698</v>
      </c>
      <c r="G80">
        <v>8</v>
      </c>
      <c r="H80" s="4">
        <v>44199</v>
      </c>
      <c r="I80">
        <f>YEAR(Table1[[#This Row],[RentDate]])</f>
        <v>2021</v>
      </c>
    </row>
    <row r="81" spans="1:9" x14ac:dyDescent="0.2">
      <c r="A81" t="s">
        <v>90</v>
      </c>
      <c r="B81" t="s">
        <v>48</v>
      </c>
      <c r="C81" t="s">
        <v>49</v>
      </c>
      <c r="D81" t="s">
        <v>50</v>
      </c>
      <c r="E81" s="1">
        <v>100</v>
      </c>
      <c r="F81" s="1">
        <v>3698</v>
      </c>
      <c r="G81">
        <v>10</v>
      </c>
      <c r="H81" s="4">
        <v>44452</v>
      </c>
      <c r="I81">
        <f>YEAR(Table1[[#This Row],[RentDate]])</f>
        <v>2021</v>
      </c>
    </row>
    <row r="82" spans="1:9" x14ac:dyDescent="0.2">
      <c r="A82" t="s">
        <v>105</v>
      </c>
      <c r="B82" t="s">
        <v>48</v>
      </c>
      <c r="C82" t="s">
        <v>49</v>
      </c>
      <c r="D82" t="s">
        <v>50</v>
      </c>
      <c r="E82" s="1">
        <v>100</v>
      </c>
      <c r="F82" s="1">
        <v>3698</v>
      </c>
      <c r="G82">
        <v>12</v>
      </c>
      <c r="H82" s="4">
        <v>44285</v>
      </c>
      <c r="I82">
        <f>YEAR(Table1[[#This Row],[RentDate]])</f>
        <v>2021</v>
      </c>
    </row>
    <row r="83" spans="1:9" x14ac:dyDescent="0.2">
      <c r="A83" t="s">
        <v>55</v>
      </c>
      <c r="B83" t="s">
        <v>56</v>
      </c>
      <c r="C83" t="s">
        <v>57</v>
      </c>
      <c r="D83" t="s">
        <v>27</v>
      </c>
      <c r="E83" s="1">
        <v>50</v>
      </c>
      <c r="F83" s="1">
        <v>2395</v>
      </c>
      <c r="G83">
        <v>6</v>
      </c>
      <c r="H83" s="4">
        <v>44244</v>
      </c>
      <c r="I83">
        <f>YEAR(Table1[[#This Row],[RentDate]])</f>
        <v>2021</v>
      </c>
    </row>
    <row r="84" spans="1:9" x14ac:dyDescent="0.2">
      <c r="A84" t="s">
        <v>92</v>
      </c>
      <c r="B84" t="s">
        <v>56</v>
      </c>
      <c r="C84" t="s">
        <v>57</v>
      </c>
      <c r="D84" t="s">
        <v>27</v>
      </c>
      <c r="E84" s="1">
        <v>50</v>
      </c>
      <c r="F84" s="1">
        <v>2395</v>
      </c>
      <c r="G84">
        <v>8</v>
      </c>
      <c r="H84" s="4">
        <v>44496</v>
      </c>
      <c r="I84">
        <f>YEAR(Table1[[#This Row],[RentDate]])</f>
        <v>2021</v>
      </c>
    </row>
    <row r="85" spans="1:9" x14ac:dyDescent="0.2">
      <c r="A85" t="s">
        <v>107</v>
      </c>
      <c r="B85" t="s">
        <v>56</v>
      </c>
      <c r="C85" t="s">
        <v>57</v>
      </c>
      <c r="D85" t="s">
        <v>27</v>
      </c>
      <c r="E85" s="1">
        <v>50</v>
      </c>
      <c r="F85" s="1">
        <v>2395</v>
      </c>
      <c r="G85">
        <v>11</v>
      </c>
      <c r="H85" s="4">
        <v>44405</v>
      </c>
      <c r="I85">
        <f>YEAR(Table1[[#This Row],[RentDate]])</f>
        <v>2021</v>
      </c>
    </row>
    <row r="86" spans="1:9" x14ac:dyDescent="0.2">
      <c r="A86" t="s">
        <v>51</v>
      </c>
      <c r="B86" t="s">
        <v>52</v>
      </c>
      <c r="C86" t="s">
        <v>53</v>
      </c>
      <c r="D86" t="s">
        <v>54</v>
      </c>
      <c r="E86" s="1">
        <v>150</v>
      </c>
      <c r="F86" s="1">
        <v>2450</v>
      </c>
      <c r="G86">
        <v>12</v>
      </c>
      <c r="H86" s="4">
        <v>44436</v>
      </c>
      <c r="I86">
        <f>YEAR(Table1[[#This Row],[RentDate]])</f>
        <v>2021</v>
      </c>
    </row>
    <row r="87" spans="1:9" x14ac:dyDescent="0.2">
      <c r="A87" t="s">
        <v>91</v>
      </c>
      <c r="B87" t="s">
        <v>52</v>
      </c>
      <c r="C87" t="s">
        <v>53</v>
      </c>
      <c r="D87" t="s">
        <v>54</v>
      </c>
      <c r="E87" s="1">
        <v>150</v>
      </c>
      <c r="F87" s="1">
        <v>2450</v>
      </c>
      <c r="G87">
        <v>7</v>
      </c>
      <c r="H87" s="4">
        <v>44377</v>
      </c>
      <c r="I87">
        <f>YEAR(Table1[[#This Row],[RentDate]])</f>
        <v>2021</v>
      </c>
    </row>
    <row r="88" spans="1:9" x14ac:dyDescent="0.2">
      <c r="A88" t="s">
        <v>106</v>
      </c>
      <c r="B88" t="s">
        <v>52</v>
      </c>
      <c r="C88" t="s">
        <v>53</v>
      </c>
      <c r="D88" t="s">
        <v>54</v>
      </c>
      <c r="E88" s="1">
        <v>150</v>
      </c>
      <c r="F88" s="1">
        <v>2450</v>
      </c>
      <c r="G88">
        <v>6</v>
      </c>
      <c r="H88" s="4">
        <v>44384</v>
      </c>
      <c r="I88">
        <f>YEAR(Table1[[#This Row],[RentDate]])</f>
        <v>2021</v>
      </c>
    </row>
    <row r="89" spans="1:9" x14ac:dyDescent="0.2">
      <c r="A89" t="s">
        <v>68</v>
      </c>
      <c r="B89" t="s">
        <v>59</v>
      </c>
      <c r="C89" t="s">
        <v>69</v>
      </c>
      <c r="D89" t="s">
        <v>70</v>
      </c>
      <c r="E89" s="1">
        <v>175</v>
      </c>
      <c r="F89" s="1">
        <v>2998</v>
      </c>
      <c r="G89">
        <v>12</v>
      </c>
      <c r="H89" s="4">
        <v>44339</v>
      </c>
      <c r="I89">
        <f>YEAR(Table1[[#This Row],[RentDate]])</f>
        <v>2021</v>
      </c>
    </row>
    <row r="90" spans="1:9" x14ac:dyDescent="0.2">
      <c r="A90" t="s">
        <v>100</v>
      </c>
      <c r="B90" t="s">
        <v>59</v>
      </c>
      <c r="C90" t="s">
        <v>69</v>
      </c>
      <c r="D90" t="s">
        <v>70</v>
      </c>
      <c r="E90" s="1">
        <v>175</v>
      </c>
      <c r="F90" s="1">
        <v>2998</v>
      </c>
      <c r="G90">
        <v>5</v>
      </c>
      <c r="H90" s="4">
        <v>44732</v>
      </c>
      <c r="I90">
        <f>YEAR(Table1[[#This Row],[RentDate]])</f>
        <v>2022</v>
      </c>
    </row>
    <row r="91" spans="1:9" x14ac:dyDescent="0.2">
      <c r="A91" t="s">
        <v>125</v>
      </c>
      <c r="B91" t="s">
        <v>59</v>
      </c>
      <c r="C91" t="s">
        <v>69</v>
      </c>
      <c r="D91" t="s">
        <v>70</v>
      </c>
      <c r="E91" s="1">
        <v>175</v>
      </c>
      <c r="F91" s="1">
        <v>2998</v>
      </c>
      <c r="G91">
        <v>11</v>
      </c>
      <c r="H91" s="4">
        <v>44667</v>
      </c>
      <c r="I91">
        <f>YEAR(Table1[[#This Row],[RentDate]])</f>
        <v>2022</v>
      </c>
    </row>
    <row r="92" spans="1:9" x14ac:dyDescent="0.2">
      <c r="A92" t="s">
        <v>142</v>
      </c>
      <c r="B92" t="s">
        <v>59</v>
      </c>
      <c r="C92" t="s">
        <v>69</v>
      </c>
      <c r="D92" t="s">
        <v>70</v>
      </c>
      <c r="E92" s="1">
        <v>175</v>
      </c>
      <c r="F92" s="1">
        <v>2998</v>
      </c>
      <c r="G92">
        <v>7</v>
      </c>
      <c r="H92" s="4">
        <v>44299</v>
      </c>
      <c r="I92">
        <f>YEAR(Table1[[#This Row],[RentDate]])</f>
        <v>2021</v>
      </c>
    </row>
    <row r="93" spans="1:9" x14ac:dyDescent="0.2">
      <c r="A93" t="s">
        <v>152</v>
      </c>
      <c r="B93" t="s">
        <v>59</v>
      </c>
      <c r="C93" t="s">
        <v>69</v>
      </c>
      <c r="D93" t="s">
        <v>70</v>
      </c>
      <c r="E93" s="1">
        <v>175</v>
      </c>
      <c r="F93" s="1">
        <v>2998</v>
      </c>
      <c r="G93">
        <v>5</v>
      </c>
      <c r="H93" s="4">
        <v>44550</v>
      </c>
      <c r="I93">
        <f>YEAR(Table1[[#This Row],[RentDate]])</f>
        <v>2021</v>
      </c>
    </row>
    <row r="94" spans="1:9" x14ac:dyDescent="0.2">
      <c r="A94" t="s">
        <v>58</v>
      </c>
      <c r="B94" t="s">
        <v>59</v>
      </c>
      <c r="C94" t="s">
        <v>60</v>
      </c>
      <c r="D94" t="s">
        <v>61</v>
      </c>
      <c r="E94" s="1">
        <v>165</v>
      </c>
      <c r="F94" s="1">
        <v>3980</v>
      </c>
      <c r="G94">
        <v>7</v>
      </c>
      <c r="H94" s="4">
        <v>44739</v>
      </c>
      <c r="I94">
        <f>YEAR(Table1[[#This Row],[RentDate]])</f>
        <v>2022</v>
      </c>
    </row>
    <row r="95" spans="1:9" x14ac:dyDescent="0.2">
      <c r="A95" t="s">
        <v>93</v>
      </c>
      <c r="B95" t="s">
        <v>59</v>
      </c>
      <c r="C95" t="s">
        <v>60</v>
      </c>
      <c r="D95" t="s">
        <v>61</v>
      </c>
      <c r="E95" s="1">
        <v>165</v>
      </c>
      <c r="F95" s="1">
        <v>3980</v>
      </c>
      <c r="G95">
        <v>11</v>
      </c>
      <c r="H95" s="4">
        <v>44240</v>
      </c>
      <c r="I95">
        <f>YEAR(Table1[[#This Row],[RentDate]])</f>
        <v>2021</v>
      </c>
    </row>
    <row r="96" spans="1:9" x14ac:dyDescent="0.2">
      <c r="A96" t="s">
        <v>108</v>
      </c>
      <c r="B96" t="s">
        <v>59</v>
      </c>
      <c r="C96" t="s">
        <v>60</v>
      </c>
      <c r="D96" t="s">
        <v>61</v>
      </c>
      <c r="E96" s="1">
        <v>165</v>
      </c>
      <c r="F96" s="1">
        <v>3980</v>
      </c>
      <c r="G96">
        <v>9</v>
      </c>
      <c r="H96" s="4">
        <v>44299</v>
      </c>
      <c r="I96">
        <f>YEAR(Table1[[#This Row],[RentDate]])</f>
        <v>2021</v>
      </c>
    </row>
    <row r="97" spans="1:9" x14ac:dyDescent="0.2">
      <c r="A97" t="s">
        <v>24</v>
      </c>
      <c r="B97" t="s">
        <v>25</v>
      </c>
      <c r="C97" t="s">
        <v>26</v>
      </c>
      <c r="D97" t="s">
        <v>27</v>
      </c>
      <c r="E97" s="1">
        <v>150</v>
      </c>
      <c r="F97" s="1">
        <v>4780</v>
      </c>
      <c r="G97">
        <v>7</v>
      </c>
      <c r="H97" s="4">
        <v>44357</v>
      </c>
      <c r="I97">
        <f>YEAR(Table1[[#This Row],[RentDate]])</f>
        <v>2021</v>
      </c>
    </row>
    <row r="98" spans="1:9" x14ac:dyDescent="0.2">
      <c r="A98" t="s">
        <v>82</v>
      </c>
      <c r="B98" t="s">
        <v>25</v>
      </c>
      <c r="C98" t="s">
        <v>26</v>
      </c>
      <c r="D98" t="s">
        <v>27</v>
      </c>
      <c r="E98" s="1">
        <v>150</v>
      </c>
      <c r="F98" s="1">
        <v>4780</v>
      </c>
      <c r="G98">
        <v>9</v>
      </c>
      <c r="H98" s="4">
        <v>44621</v>
      </c>
      <c r="I98">
        <f>YEAR(Table1[[#This Row],[RentDate]])</f>
        <v>2022</v>
      </c>
    </row>
    <row r="99" spans="1:9" x14ac:dyDescent="0.2">
      <c r="A99" t="s">
        <v>115</v>
      </c>
      <c r="B99" t="s">
        <v>25</v>
      </c>
      <c r="C99" t="s">
        <v>26</v>
      </c>
      <c r="D99" t="s">
        <v>27</v>
      </c>
      <c r="E99" s="1">
        <v>150</v>
      </c>
      <c r="F99" s="1">
        <v>4780</v>
      </c>
      <c r="G99">
        <v>8</v>
      </c>
      <c r="H99" s="4">
        <v>44521</v>
      </c>
      <c r="I99">
        <f>YEAR(Table1[[#This Row],[RentDate]])</f>
        <v>2021</v>
      </c>
    </row>
    <row r="100" spans="1:9" x14ac:dyDescent="0.2">
      <c r="A100" t="s">
        <v>128</v>
      </c>
      <c r="B100" t="s">
        <v>25</v>
      </c>
      <c r="C100" t="s">
        <v>26</v>
      </c>
      <c r="D100" t="s">
        <v>27</v>
      </c>
      <c r="E100" s="1">
        <v>150</v>
      </c>
      <c r="F100" s="1">
        <v>4780</v>
      </c>
      <c r="G100">
        <v>10</v>
      </c>
      <c r="H100" s="4">
        <v>44386</v>
      </c>
      <c r="I100">
        <f>YEAR(Table1[[#This Row],[RentDate]])</f>
        <v>2021</v>
      </c>
    </row>
    <row r="101" spans="1:9" x14ac:dyDescent="0.2">
      <c r="A101" t="s">
        <v>149</v>
      </c>
      <c r="B101" t="s">
        <v>25</v>
      </c>
      <c r="C101" t="s">
        <v>26</v>
      </c>
      <c r="D101" t="s">
        <v>27</v>
      </c>
      <c r="E101" s="1">
        <v>150</v>
      </c>
      <c r="F101" s="1">
        <v>4780</v>
      </c>
      <c r="G101">
        <v>6</v>
      </c>
      <c r="H101" s="4">
        <v>44329</v>
      </c>
      <c r="I101">
        <f>YEAR(Table1[[#This Row],[RentDate]])</f>
        <v>2021</v>
      </c>
    </row>
    <row r="102" spans="1:9" x14ac:dyDescent="0.2">
      <c r="E102">
        <f>SUM(amount)</f>
        <v>16818</v>
      </c>
    </row>
  </sheetData>
  <sheetProtection sheet="1" objects="1" scenarios="1"/>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A7F94-C72E-3F44-82AC-3B98BF0C8C67}">
  <sheetPr codeName="Sheet8"/>
  <dimension ref="A1:J47"/>
  <sheetViews>
    <sheetView topLeftCell="A4" zoomScale="108" workbookViewId="0">
      <selection activeCell="H38" sqref="H38"/>
    </sheetView>
  </sheetViews>
  <sheetFormatPr baseColWidth="10" defaultRowHeight="15" x14ac:dyDescent="0.2"/>
  <cols>
    <col min="1" max="1" width="18.5" customWidth="1"/>
    <col min="2" max="2" width="16.1640625" customWidth="1"/>
    <col min="3" max="3" width="12.33203125" customWidth="1"/>
    <col min="4" max="4" width="14.33203125" customWidth="1"/>
    <col min="5" max="5" width="19.1640625" customWidth="1"/>
    <col min="6" max="6" width="19.6640625" customWidth="1"/>
    <col min="7" max="7" width="6.6640625" customWidth="1"/>
    <col min="8" max="8" width="45.83203125" customWidth="1"/>
    <col min="9" max="9" width="15" customWidth="1"/>
    <col min="10" max="10" width="24.33203125" customWidth="1"/>
  </cols>
  <sheetData>
    <row r="1" spans="1:10" x14ac:dyDescent="0.2">
      <c r="A1" s="53" t="s">
        <v>219</v>
      </c>
      <c r="B1" s="53"/>
      <c r="C1" s="53"/>
      <c r="D1" s="53"/>
      <c r="E1" s="53"/>
    </row>
    <row r="2" spans="1:10" x14ac:dyDescent="0.2">
      <c r="A2" s="5" t="s">
        <v>0</v>
      </c>
      <c r="B2" s="5" t="s">
        <v>1</v>
      </c>
      <c r="C2" s="6" t="s">
        <v>159</v>
      </c>
      <c r="D2" s="7" t="s">
        <v>160</v>
      </c>
      <c r="E2" s="6" t="s">
        <v>161</v>
      </c>
    </row>
    <row r="3" spans="1:10" x14ac:dyDescent="0.2">
      <c r="A3" s="8" t="s">
        <v>7</v>
      </c>
      <c r="B3" s="8" t="s">
        <v>8</v>
      </c>
      <c r="C3" s="6">
        <f>COUNTIF('Dress Rental (QA)'!A:I,'1. Quick Analysis (QA)'!B3)</f>
        <v>4</v>
      </c>
      <c r="D3" s="14">
        <f>COUNTIFS('Dress Rental (QA)'!C:C,'1. Quick Analysis (QA)'!B3,'Dress Rental (QA)'!I:I,2021)*VLOOKUP(B3,'Dress Rental (QA)'!C:E,3)</f>
        <v>300</v>
      </c>
      <c r="E3" s="14">
        <f>COUNTIFS('Dress Rental (QA)'!C:C,'1. Quick Analysis (QA)'!B3,'Dress Rental (QA)'!I:I,2022)*VLOOKUP(B3,'Dress Rental (QA)'!C:E,3,FALSE)</f>
        <v>300</v>
      </c>
      <c r="F3" s="17"/>
      <c r="G3" s="17"/>
      <c r="H3" s="17"/>
      <c r="I3" s="17"/>
    </row>
    <row r="4" spans="1:10" x14ac:dyDescent="0.2">
      <c r="A4" s="8" t="s">
        <v>11</v>
      </c>
      <c r="B4" s="8" t="s">
        <v>12</v>
      </c>
      <c r="C4" s="6">
        <f>COUNTIF('Dress Rental (QA)'!A:I,'1. Quick Analysis (QA)'!B4)</f>
        <v>3</v>
      </c>
      <c r="D4" s="14">
        <f>COUNTIFS('Dress Rental (QA)'!C:C,'1. Quick Analysis (QA)'!B4,'Dress Rental (QA)'!I:I,2021)*VLOOKUP(B4,'Dress Rental (QA)'!C:E,3,FALSE)</f>
        <v>110</v>
      </c>
      <c r="E4" s="14">
        <f>COUNTIFS('Dress Rental (QA)'!C:C,'1. Quick Analysis (QA)'!B4,'Dress Rental (QA)'!I:I,2022)*VLOOKUP(B4,'Dress Rental (QA)'!C:E,3,FALSE)</f>
        <v>220</v>
      </c>
      <c r="F4" s="17"/>
      <c r="G4" s="17"/>
      <c r="H4" s="17"/>
      <c r="I4" s="17"/>
      <c r="J4" s="12"/>
    </row>
    <row r="5" spans="1:10" x14ac:dyDescent="0.2">
      <c r="A5" s="8" t="s">
        <v>15</v>
      </c>
      <c r="B5" s="8" t="s">
        <v>16</v>
      </c>
      <c r="C5" s="6">
        <f>COUNTIF('Dress Rental (QA)'!A:I,'1. Quick Analysis (QA)'!B5)</f>
        <v>6</v>
      </c>
      <c r="D5" s="14">
        <f>COUNTIFS('Dress Rental (QA)'!C:C,'1. Quick Analysis (QA)'!B5,'Dress Rental (QA)'!I:I,2021)*VLOOKUP(B5,'Dress Rental (QA)'!C:E,3,FALSE)</f>
        <v>1000</v>
      </c>
      <c r="E5" s="14">
        <f>COUNTIFS('Dress Rental (QA)'!C:C,'1. Quick Analysis (QA)'!B5,'Dress Rental (QA)'!I:I,2022)*VLOOKUP(B5,'Dress Rental (QA)'!C:E,3,FALSE)</f>
        <v>200</v>
      </c>
      <c r="F5" s="17"/>
      <c r="G5" s="17"/>
      <c r="H5" s="17"/>
      <c r="I5" s="17"/>
    </row>
    <row r="6" spans="1:10" x14ac:dyDescent="0.2">
      <c r="A6" s="8" t="s">
        <v>18</v>
      </c>
      <c r="B6" s="8" t="s">
        <v>19</v>
      </c>
      <c r="C6" s="6">
        <f>COUNTIF('Dress Rental (QA)'!A:I,'1. Quick Analysis (QA)'!B6)</f>
        <v>6</v>
      </c>
      <c r="D6" s="14">
        <f>COUNTIFS('Dress Rental (QA)'!C:C,'1. Quick Analysis (QA)'!B6,'Dress Rental (QA)'!I:I,2021)*VLOOKUP(B6,'Dress Rental (QA)'!C:E,3,FALSE)</f>
        <v>500</v>
      </c>
      <c r="E6" s="14">
        <f>COUNTIFS('Dress Rental (QA)'!C:C,'1. Quick Analysis (QA)'!B6,'Dress Rental (QA)'!I:I,2022)*VLOOKUP(B6,'Dress Rental (QA)'!C:E,3,FALSE)</f>
        <v>1000</v>
      </c>
      <c r="F6" s="17"/>
      <c r="G6" s="17"/>
      <c r="H6" s="17"/>
      <c r="I6" s="17"/>
    </row>
    <row r="7" spans="1:10" x14ac:dyDescent="0.2">
      <c r="A7" s="8" t="s">
        <v>22</v>
      </c>
      <c r="B7" s="8" t="s">
        <v>23</v>
      </c>
      <c r="C7" s="6">
        <f>COUNTIF('Dress Rental (QA)'!A:I,'1. Quick Analysis (QA)'!B7)</f>
        <v>7</v>
      </c>
      <c r="D7" s="14">
        <f>COUNTIFS('Dress Rental (QA)'!C:C,'1. Quick Analysis (QA)'!B7,'Dress Rental (QA)'!I:I,2021)*VLOOKUP(B7,'Dress Rental (QA)'!C:E,3,FALSE)</f>
        <v>796</v>
      </c>
      <c r="E7" s="14">
        <f>COUNTIFS('Dress Rental (QA)'!C:C,'1. Quick Analysis (QA)'!B7,'Dress Rental (QA)'!I:I,2022)*VLOOKUP(B7,'Dress Rental (QA)'!C:E,3,FALSE)</f>
        <v>597</v>
      </c>
      <c r="F7" s="17"/>
      <c r="G7" s="17"/>
      <c r="H7" s="17"/>
      <c r="I7" s="17"/>
    </row>
    <row r="8" spans="1:10" x14ac:dyDescent="0.2">
      <c r="A8" s="8" t="s">
        <v>25</v>
      </c>
      <c r="B8" s="8" t="s">
        <v>26</v>
      </c>
      <c r="C8" s="6">
        <f>COUNTIF('Dress Rental (QA)'!A:I,'1. Quick Analysis (QA)'!B8)</f>
        <v>5</v>
      </c>
      <c r="D8" s="14">
        <f>COUNTIFS('Dress Rental (QA)'!C:C,'1. Quick Analysis (QA)'!B8,'Dress Rental (QA)'!I:I,2021)*VLOOKUP(B8,'Dress Rental (QA)'!C:E,3,FALSE)</f>
        <v>600</v>
      </c>
      <c r="E8" s="14">
        <f>COUNTIFS('Dress Rental (QA)'!C:C,'1. Quick Analysis (QA)'!B8,'Dress Rental (QA)'!I:I,2022)*VLOOKUP(B8,'Dress Rental (QA)'!C:E,3,FALSE)</f>
        <v>150</v>
      </c>
      <c r="F8" s="17"/>
      <c r="G8" s="17"/>
      <c r="H8" s="17"/>
      <c r="I8" s="17"/>
    </row>
    <row r="9" spans="1:10" x14ac:dyDescent="0.2">
      <c r="A9" s="8" t="s">
        <v>29</v>
      </c>
      <c r="B9" s="8" t="s">
        <v>30</v>
      </c>
      <c r="C9" s="6">
        <f>COUNTIF('Dress Rental (QA)'!A:I,'1. Quick Analysis (QA)'!B9)</f>
        <v>7</v>
      </c>
      <c r="D9" s="14">
        <f>COUNTIFS('Dress Rental (QA)'!C:C,'1. Quick Analysis (QA)'!B9,'Dress Rental (QA)'!I:I,2021)*VLOOKUP(B9,'Dress Rental (QA)'!C:E,3,FALSE)</f>
        <v>750</v>
      </c>
      <c r="E9" s="14">
        <f>COUNTIFS('Dress Rental (QA)'!C:C,'1. Quick Analysis (QA)'!B9,'Dress Rental (QA)'!I:I,2022)*VLOOKUP(B9,'Dress Rental (QA)'!C:E,3,FALSE)</f>
        <v>125</v>
      </c>
      <c r="F9" s="17"/>
      <c r="G9" s="17"/>
      <c r="H9" s="17"/>
      <c r="I9" s="17"/>
    </row>
    <row r="10" spans="1:10" x14ac:dyDescent="0.2">
      <c r="A10" s="8" t="s">
        <v>33</v>
      </c>
      <c r="B10" s="8" t="s">
        <v>34</v>
      </c>
      <c r="C10" s="6">
        <f>COUNTIF('Dress Rental (QA)'!A:I,'1. Quick Analysis (QA)'!B10)</f>
        <v>8</v>
      </c>
      <c r="D10" s="14">
        <f>COUNTIFS('Dress Rental (QA)'!C:C,'1. Quick Analysis (QA)'!B10,'Dress Rental (QA)'!I:I,2021)*VLOOKUP(B10,'Dress Rental (QA)'!C:E,3,FALSE)</f>
        <v>600</v>
      </c>
      <c r="E10" s="14">
        <f>COUNTIFS('Dress Rental (QA)'!C:C,'1. Quick Analysis (QA)'!B10,'Dress Rental (QA)'!I:I,2022)*VLOOKUP(B10,'Dress Rental (QA)'!C:E,3,FALSE)</f>
        <v>600</v>
      </c>
      <c r="F10" s="17"/>
      <c r="G10" s="17"/>
      <c r="H10" s="17"/>
      <c r="I10" s="17"/>
    </row>
    <row r="11" spans="1:10" x14ac:dyDescent="0.2">
      <c r="A11" s="8" t="s">
        <v>37</v>
      </c>
      <c r="B11" s="8" t="s">
        <v>38</v>
      </c>
      <c r="C11" s="6">
        <f>COUNTIF('Dress Rental (QA)'!A:I,'1. Quick Analysis (QA)'!B11)</f>
        <v>5</v>
      </c>
      <c r="D11" s="14">
        <f>COUNTIFS('Dress Rental (QA)'!C:C,'1. Quick Analysis (QA)'!B11,'Dress Rental (QA)'!I:I,2021)*VLOOKUP(B11,'Dress Rental (QA)'!C:E,3,FALSE)</f>
        <v>500</v>
      </c>
      <c r="E11" s="14">
        <f>COUNTIFS('Dress Rental (QA)'!C:C,'1. Quick Analysis (QA)'!B11,'Dress Rental (QA)'!I:I,2022)*VLOOKUP(B11,'Dress Rental (QA)'!C:E,3,FALSE)</f>
        <v>750</v>
      </c>
      <c r="F11" s="17"/>
      <c r="G11" s="17"/>
      <c r="H11" s="17"/>
      <c r="I11" s="17"/>
    </row>
    <row r="12" spans="1:10" x14ac:dyDescent="0.2">
      <c r="A12" s="8" t="s">
        <v>41</v>
      </c>
      <c r="B12" s="8" t="s">
        <v>42</v>
      </c>
      <c r="C12" s="6">
        <f>COUNTIF('Dress Rental (QA)'!A:I,'1. Quick Analysis (QA)'!B12)</f>
        <v>5</v>
      </c>
      <c r="D12" s="14">
        <f>COUNTIFS('Dress Rental (QA)'!C:C,'1. Quick Analysis (QA)'!B12,'Dress Rental (QA)'!I:I,2021)*VLOOKUP(B12,'Dress Rental (QA)'!C:E,3,FALSE)</f>
        <v>760</v>
      </c>
      <c r="E12" s="14">
        <f>COUNTIFS('Dress Rental (QA)'!C:C,'1. Quick Analysis (QA)'!B12,'Dress Rental (QA)'!I:I,2022)*VLOOKUP(B12,'Dress Rental (QA)'!C:E,3,FALSE)</f>
        <v>190</v>
      </c>
      <c r="F12" s="17"/>
      <c r="G12" s="17"/>
      <c r="H12" s="17"/>
      <c r="I12" s="17"/>
    </row>
    <row r="13" spans="1:10" x14ac:dyDescent="0.2">
      <c r="A13" s="8" t="s">
        <v>45</v>
      </c>
      <c r="B13" s="8" t="s">
        <v>46</v>
      </c>
      <c r="C13" s="6">
        <f>COUNTIF('Dress Rental (QA)'!A:I,'1. Quick Analysis (QA)'!B13)</f>
        <v>6</v>
      </c>
      <c r="D13" s="14">
        <f>COUNTIFS('Dress Rental (QA)'!C:C,'1. Quick Analysis (QA)'!B13,'Dress Rental (QA)'!I:I,2021)*VLOOKUP(B13,'Dress Rental (QA)'!C:E,3,FALSE)</f>
        <v>300</v>
      </c>
      <c r="E13" s="14">
        <f>COUNTIFS('Dress Rental (QA)'!C:C,'1. Quick Analysis (QA)'!B13,'Dress Rental (QA)'!I:I,2022)*VLOOKUP(B13,'Dress Rental (QA)'!C:E,3,FALSE)</f>
        <v>600</v>
      </c>
      <c r="F13" s="17"/>
      <c r="G13" s="17"/>
      <c r="H13" s="17"/>
      <c r="I13" s="17"/>
    </row>
    <row r="14" spans="1:10" x14ac:dyDescent="0.2">
      <c r="A14" s="8" t="s">
        <v>48</v>
      </c>
      <c r="B14" s="8" t="s">
        <v>49</v>
      </c>
      <c r="C14" s="6">
        <f>COUNTIF('Dress Rental (QA)'!A:I,'1. Quick Analysis (QA)'!B14)</f>
        <v>3</v>
      </c>
      <c r="D14" s="14">
        <f>COUNTIFS('Dress Rental (QA)'!C:C,'1. Quick Analysis (QA)'!B14,'Dress Rental (QA)'!I:I,2021)*VLOOKUP(B14,'Dress Rental (QA)'!C:E,3,FALSE)</f>
        <v>300</v>
      </c>
      <c r="E14" s="14">
        <f>COUNTIFS('Dress Rental (QA)'!C:C,'1. Quick Analysis (QA)'!B14,'Dress Rental (QA)'!I:I,2022)*VLOOKUP(B14,'Dress Rental (QA)'!C:E,3,FALSE)</f>
        <v>0</v>
      </c>
      <c r="F14" s="17"/>
      <c r="G14" s="17"/>
      <c r="H14" s="17"/>
      <c r="I14" s="17"/>
    </row>
    <row r="15" spans="1:10" x14ac:dyDescent="0.2">
      <c r="A15" s="8" t="s">
        <v>52</v>
      </c>
      <c r="B15" s="8" t="s">
        <v>53</v>
      </c>
      <c r="C15" s="6">
        <f>COUNTIF('Dress Rental (QA)'!A:I,'1. Quick Analysis (QA)'!B15)</f>
        <v>3</v>
      </c>
      <c r="D15" s="14">
        <f>COUNTIFS('Dress Rental (QA)'!C:C,'1. Quick Analysis (QA)'!B15,'Dress Rental (QA)'!I:I,2021)*VLOOKUP(B15,'Dress Rental (QA)'!C:E,3,FALSE)</f>
        <v>450</v>
      </c>
      <c r="E15" s="14">
        <f>COUNTIFS('Dress Rental (QA)'!C:C,'1. Quick Analysis (QA)'!B15,'Dress Rental (QA)'!I:I,2022)*VLOOKUP(B15,'Dress Rental (QA)'!C:E,3,FALSE)</f>
        <v>0</v>
      </c>
      <c r="F15" s="17"/>
      <c r="G15" s="17"/>
      <c r="H15" s="17"/>
      <c r="I15" s="17"/>
    </row>
    <row r="16" spans="1:10" x14ac:dyDescent="0.2">
      <c r="A16" s="8" t="s">
        <v>56</v>
      </c>
      <c r="B16" s="8" t="s">
        <v>57</v>
      </c>
      <c r="C16" s="6">
        <f>COUNTIF('Dress Rental (QA)'!A:I,'1. Quick Analysis (QA)'!B16)</f>
        <v>3</v>
      </c>
      <c r="D16" s="14">
        <f>COUNTIFS('Dress Rental (QA)'!C:C,'1. Quick Analysis (QA)'!B16,'Dress Rental (QA)'!I:I,2021)*VLOOKUP(B16,'Dress Rental (QA)'!C:E,3,FALSE)</f>
        <v>150</v>
      </c>
      <c r="E16" s="14">
        <f>COUNTIFS('Dress Rental (QA)'!C:C,'1. Quick Analysis (QA)'!B16,'Dress Rental (QA)'!I:I,2022)*VLOOKUP(B16,'Dress Rental (QA)'!C:E,3,FALSE)</f>
        <v>0</v>
      </c>
      <c r="F16" s="17"/>
      <c r="G16" s="17"/>
      <c r="H16" s="17"/>
      <c r="I16" s="17"/>
    </row>
    <row r="17" spans="1:9" x14ac:dyDescent="0.2">
      <c r="A17" s="8" t="s">
        <v>59</v>
      </c>
      <c r="B17" s="8" t="s">
        <v>60</v>
      </c>
      <c r="C17" s="6">
        <f>COUNTIF('Dress Rental (QA)'!A:I,'1. Quick Analysis (QA)'!B17)</f>
        <v>3</v>
      </c>
      <c r="D17" s="14">
        <f>COUNTIFS('Dress Rental (QA)'!C:C,'1. Quick Analysis (QA)'!B17,'Dress Rental (QA)'!I:I,2021)*VLOOKUP(B17,'Dress Rental (QA)'!C:E,3,FALSE)</f>
        <v>330</v>
      </c>
      <c r="E17" s="14">
        <f>COUNTIFS('Dress Rental (QA)'!C:C,'1. Quick Analysis (QA)'!B17,'Dress Rental (QA)'!I:I,2022)*VLOOKUP(B17,'Dress Rental (QA)'!C:E,3,FALSE)</f>
        <v>165</v>
      </c>
      <c r="F17" s="17"/>
      <c r="G17" s="17"/>
      <c r="H17" s="17"/>
      <c r="I17" s="17"/>
    </row>
    <row r="18" spans="1:9" x14ac:dyDescent="0.2">
      <c r="A18" s="8" t="s">
        <v>11</v>
      </c>
      <c r="B18" s="8" t="s">
        <v>158</v>
      </c>
      <c r="C18" s="6">
        <f>COUNTIF('Dress Rental (QA)'!A:I,'1. Quick Analysis (QA)'!B18)</f>
        <v>5</v>
      </c>
      <c r="D18" s="14">
        <f>COUNTIFS('Dress Rental (QA)'!C:C,'1. Quick Analysis (QA)'!B18,'Dress Rental (QA)'!I:I,2021)*VLOOKUP(B18,'Dress Rental (QA)'!C:E,3,FALSE)</f>
        <v>320</v>
      </c>
      <c r="E18" s="14">
        <f>COUNTIFS('Dress Rental (QA)'!C:C,'1. Quick Analysis (QA)'!B18,'Dress Rental (QA)'!I:I,2022)*VLOOKUP(B18,'Dress Rental (QA)'!C:E,3,FALSE)</f>
        <v>480</v>
      </c>
      <c r="F18" s="17"/>
      <c r="G18" s="17"/>
      <c r="H18" s="17"/>
      <c r="I18" s="17"/>
    </row>
    <row r="19" spans="1:9" x14ac:dyDescent="0.2">
      <c r="A19" s="8" t="s">
        <v>15</v>
      </c>
      <c r="B19" s="8" t="s">
        <v>64</v>
      </c>
      <c r="C19" s="6">
        <f>COUNTIF('Dress Rental (QA)'!A:I,'1. Quick Analysis (QA)'!B19)</f>
        <v>7</v>
      </c>
      <c r="D19" s="14">
        <f>COUNTIFS('Dress Rental (QA)'!C:C,'1. Quick Analysis (QA)'!B19,'Dress Rental (QA)'!I:I,2021)*VLOOKUP(B19,'Dress Rental (QA)'!C:E,3,FALSE)</f>
        <v>700</v>
      </c>
      <c r="E19" s="14">
        <f>COUNTIFS('Dress Rental (QA)'!C:C,'1. Quick Analysis (QA)'!B19,'Dress Rental (QA)'!I:I,2022)*VLOOKUP(B19,'Dress Rental (QA)'!C:E,3,FALSE)</f>
        <v>525</v>
      </c>
      <c r="F19" s="17"/>
      <c r="G19" s="17"/>
      <c r="H19" s="17"/>
      <c r="I19" s="17"/>
    </row>
    <row r="20" spans="1:9" x14ac:dyDescent="0.2">
      <c r="A20" s="8" t="s">
        <v>48</v>
      </c>
      <c r="B20" s="8" t="s">
        <v>66</v>
      </c>
      <c r="C20" s="6">
        <f>COUNTIF('Dress Rental (QA)'!A:I,'1. Quick Analysis (QA)'!B20)</f>
        <v>5</v>
      </c>
      <c r="D20" s="14">
        <f>COUNTIFS('Dress Rental (QA)'!C:C,'1. Quick Analysis (QA)'!B20,'Dress Rental (QA)'!I:I,2021)*VLOOKUP(B20,'Dress Rental (QA)'!C:E,3,FALSE)</f>
        <v>975</v>
      </c>
      <c r="E20" s="14">
        <f>COUNTIFS('Dress Rental (QA)'!C:C,'1. Quick Analysis (QA)'!B20,'Dress Rental (QA)'!I:I,2022)*VLOOKUP(B20,'Dress Rental (QA)'!C:E,3,FALSE)</f>
        <v>0</v>
      </c>
      <c r="F20" s="17"/>
      <c r="G20" s="17"/>
      <c r="H20" s="17"/>
      <c r="I20" s="17"/>
    </row>
    <row r="21" spans="1:9" x14ac:dyDescent="0.2">
      <c r="A21" s="8" t="s">
        <v>59</v>
      </c>
      <c r="B21" s="8" t="s">
        <v>69</v>
      </c>
      <c r="C21" s="6">
        <f>COUNTIF('Dress Rental (QA)'!A:I,'1. Quick Analysis (QA)'!B21)</f>
        <v>5</v>
      </c>
      <c r="D21" s="14">
        <f>COUNTIFS('Dress Rental (QA)'!C:C,'1. Quick Analysis (QA)'!B21,'Dress Rental (QA)'!I:I,2021)*VLOOKUP(B21,'Dress Rental (QA)'!C:E,3,FALSE)</f>
        <v>525</v>
      </c>
      <c r="E21" s="14">
        <f>COUNTIFS('Dress Rental (QA)'!C:C,'1. Quick Analysis (QA)'!B21,'Dress Rental (QA)'!I:I,2022)*VLOOKUP(B21,'Dress Rental (QA)'!C:E,3,FALSE)</f>
        <v>350</v>
      </c>
      <c r="F21" s="17"/>
      <c r="G21" s="17"/>
      <c r="H21" s="17"/>
      <c r="I21" s="17"/>
    </row>
    <row r="22" spans="1:9" x14ac:dyDescent="0.2">
      <c r="A22" s="8" t="s">
        <v>45</v>
      </c>
      <c r="B22" s="8" t="s">
        <v>72</v>
      </c>
      <c r="C22" s="6">
        <f>COUNTIF('Dress Rental (QA)'!A:I,'1. Quick Analysis (QA)'!B22)</f>
        <v>4</v>
      </c>
      <c r="D22" s="14">
        <f>COUNTIFS('Dress Rental (QA)'!C:C,'1. Quick Analysis (QA)'!B22,'Dress Rental (QA)'!I:I,2021)*VLOOKUP(B22,'Dress Rental (QA)'!C:E,3,FALSE)</f>
        <v>450</v>
      </c>
      <c r="E22" s="14">
        <f>COUNTIFS('Dress Rental (QA)'!C:C,'1. Quick Analysis (QA)'!B22,'Dress Rental (QA)'!I:I,2022)*VLOOKUP(B22,'Dress Rental (QA)'!C:E,3,FALSE)</f>
        <v>150</v>
      </c>
      <c r="F22" s="17"/>
      <c r="G22" s="17"/>
      <c r="H22" s="17"/>
      <c r="I22" s="17"/>
    </row>
    <row r="23" spans="1:9" x14ac:dyDescent="0.2">
      <c r="A23" s="7"/>
      <c r="B23" s="7"/>
      <c r="C23" s="15" t="s">
        <v>162</v>
      </c>
      <c r="D23" s="33">
        <f>SUM(D3:D22)</f>
        <v>10416</v>
      </c>
      <c r="E23" s="33">
        <f>SUM(E3:E22)</f>
        <v>6402</v>
      </c>
      <c r="F23" s="34"/>
      <c r="G23" s="34"/>
      <c r="H23" s="34"/>
    </row>
    <row r="25" spans="1:9" x14ac:dyDescent="0.2">
      <c r="A25" s="54" t="s">
        <v>220</v>
      </c>
      <c r="B25" s="54"/>
      <c r="C25" s="54"/>
      <c r="D25" s="54"/>
      <c r="E25" s="54"/>
      <c r="F25" s="54"/>
    </row>
    <row r="26" spans="1:9" ht="32" customHeight="1" x14ac:dyDescent="0.2">
      <c r="A26" s="35" t="s">
        <v>0</v>
      </c>
      <c r="B26" s="36" t="s">
        <v>1</v>
      </c>
      <c r="C26" s="37" t="s">
        <v>159</v>
      </c>
      <c r="D26" s="37" t="s">
        <v>161</v>
      </c>
      <c r="E26" s="38" t="s">
        <v>180</v>
      </c>
      <c r="F26" s="39" t="s">
        <v>181</v>
      </c>
    </row>
    <row r="27" spans="1:9" x14ac:dyDescent="0.2">
      <c r="A27" s="20" t="s">
        <v>7</v>
      </c>
      <c r="B27" s="8" t="s">
        <v>8</v>
      </c>
      <c r="C27" s="6">
        <f>COUNTIF('Dress Rental (QA)'!A:I,'1. Quick Analysis (QA)'!B27)</f>
        <v>4</v>
      </c>
      <c r="D27" s="14">
        <f>COUNTIFS('Dress Rental (QA)'!C:C,'1. Quick Analysis (QA)'!B3,'Dress Rental (QA)'!I:I,2022)*VLOOKUP(B3,'Dress Rental (QA)'!C:E,3,FALSE)</f>
        <v>300</v>
      </c>
      <c r="E27" s="14">
        <f t="shared" ref="E27:E46" si="0">D27*($I$27+1)</f>
        <v>360</v>
      </c>
      <c r="F27" s="14">
        <f>Table2[[#This Row],[Sales in 2022]]*($I$28+1)</f>
        <v>468.60599999999999</v>
      </c>
      <c r="G27" s="17"/>
      <c r="H27" s="40" t="s">
        <v>182</v>
      </c>
      <c r="I27" s="31">
        <v>0.2</v>
      </c>
    </row>
    <row r="28" spans="1:9" x14ac:dyDescent="0.2">
      <c r="A28" s="20" t="s">
        <v>11</v>
      </c>
      <c r="B28" s="8" t="s">
        <v>12</v>
      </c>
      <c r="C28" s="6">
        <f>COUNTIF('Dress Rental (QA)'!A:I,'1. Quick Analysis (QA)'!B28)</f>
        <v>3</v>
      </c>
      <c r="D28" s="14">
        <f>COUNTIFS('Dress Rental (QA)'!C:C,'1. Quick Analysis (QA)'!B4,'Dress Rental (QA)'!I:I,2022)*VLOOKUP(B4,'Dress Rental (QA)'!C:E,3,FALSE)</f>
        <v>220</v>
      </c>
      <c r="E28" s="14">
        <f t="shared" si="0"/>
        <v>264</v>
      </c>
      <c r="F28" s="14">
        <f>Table2[[#This Row],[Sales in 2022]]*($I$28+1)</f>
        <v>343.64440000000002</v>
      </c>
      <c r="G28" s="17"/>
      <c r="H28" s="41" t="s">
        <v>184</v>
      </c>
      <c r="I28" s="32">
        <v>0.56201999999999996</v>
      </c>
    </row>
    <row r="29" spans="1:9" x14ac:dyDescent="0.2">
      <c r="A29" s="20" t="s">
        <v>15</v>
      </c>
      <c r="B29" s="8" t="s">
        <v>16</v>
      </c>
      <c r="C29" s="6">
        <f>COUNTIF('Dress Rental (QA)'!A:I,'1. Quick Analysis (QA)'!B29)</f>
        <v>6</v>
      </c>
      <c r="D29" s="14">
        <f>COUNTIFS('Dress Rental (QA)'!C:C,'1. Quick Analysis (QA)'!B5,'Dress Rental (QA)'!I:I,2022)*VLOOKUP(B5,'Dress Rental (QA)'!C:E,3,FALSE)</f>
        <v>200</v>
      </c>
      <c r="E29" s="14">
        <f t="shared" si="0"/>
        <v>240</v>
      </c>
      <c r="F29" s="14">
        <f>Table2[[#This Row],[Sales in 2022]]*($I$28+1)</f>
        <v>312.404</v>
      </c>
      <c r="G29" s="17"/>
      <c r="H29" s="17"/>
      <c r="I29" t="s">
        <v>183</v>
      </c>
    </row>
    <row r="30" spans="1:9" x14ac:dyDescent="0.2">
      <c r="A30" s="20" t="s">
        <v>18</v>
      </c>
      <c r="B30" s="8" t="s">
        <v>19</v>
      </c>
      <c r="C30" s="6">
        <f>COUNTIF('Dress Rental (QA)'!A:I,'1. Quick Analysis (QA)'!B30)</f>
        <v>6</v>
      </c>
      <c r="D30" s="14">
        <f>COUNTIFS('Dress Rental (QA)'!C:C,'1. Quick Analysis (QA)'!B6,'Dress Rental (QA)'!I:I,2022)*VLOOKUP(B6,'Dress Rental (QA)'!C:E,3,FALSE)</f>
        <v>1000</v>
      </c>
      <c r="E30" s="14">
        <f t="shared" si="0"/>
        <v>1200</v>
      </c>
      <c r="F30" s="14">
        <f>Table2[[#This Row],[Sales in 2022]]*($I$28+1)</f>
        <v>1562.02</v>
      </c>
      <c r="G30" s="17"/>
      <c r="H30" s="17"/>
      <c r="I30" s="12"/>
    </row>
    <row r="31" spans="1:9" x14ac:dyDescent="0.2">
      <c r="A31" s="20" t="s">
        <v>22</v>
      </c>
      <c r="B31" s="8" t="s">
        <v>23</v>
      </c>
      <c r="C31" s="6">
        <f>COUNTIF('Dress Rental (QA)'!A:I,'1. Quick Analysis (QA)'!B31)</f>
        <v>7</v>
      </c>
      <c r="D31" s="14">
        <f>COUNTIFS('Dress Rental (QA)'!C:C,'1. Quick Analysis (QA)'!B7,'Dress Rental (QA)'!I:I,2022)*VLOOKUP(B7,'Dress Rental (QA)'!C:E,3,FALSE)</f>
        <v>597</v>
      </c>
      <c r="E31" s="14">
        <f t="shared" si="0"/>
        <v>716.4</v>
      </c>
      <c r="F31" s="14">
        <f>Table2[[#This Row],[Sales in 2022]]*($I$28+1)</f>
        <v>932.52593999999999</v>
      </c>
      <c r="G31" s="17"/>
      <c r="H31" s="17"/>
    </row>
    <row r="32" spans="1:9" x14ac:dyDescent="0.2">
      <c r="A32" s="20" t="s">
        <v>25</v>
      </c>
      <c r="B32" s="8" t="s">
        <v>26</v>
      </c>
      <c r="C32" s="6">
        <f>COUNTIF('Dress Rental (QA)'!A:I,'1. Quick Analysis (QA)'!B32)</f>
        <v>5</v>
      </c>
      <c r="D32" s="14">
        <f>COUNTIFS('Dress Rental (QA)'!C:C,'1. Quick Analysis (QA)'!B8,'Dress Rental (QA)'!I:I,2022)*VLOOKUP(B8,'Dress Rental (QA)'!C:E,3,FALSE)</f>
        <v>150</v>
      </c>
      <c r="E32" s="14">
        <f t="shared" si="0"/>
        <v>180</v>
      </c>
      <c r="F32" s="14">
        <f>Table2[[#This Row],[Sales in 2022]]*($I$28+1)</f>
        <v>234.303</v>
      </c>
      <c r="G32" s="17"/>
      <c r="H32" s="17"/>
    </row>
    <row r="33" spans="1:8" x14ac:dyDescent="0.2">
      <c r="A33" s="20" t="s">
        <v>29</v>
      </c>
      <c r="B33" s="8" t="s">
        <v>30</v>
      </c>
      <c r="C33" s="6">
        <f>COUNTIF('Dress Rental (QA)'!A:I,'1. Quick Analysis (QA)'!B33)</f>
        <v>7</v>
      </c>
      <c r="D33" s="14">
        <f>COUNTIFS('Dress Rental (QA)'!C:C,'1. Quick Analysis (QA)'!B9,'Dress Rental (QA)'!I:I,2022)*VLOOKUP(B9,'Dress Rental (QA)'!C:E,3,FALSE)</f>
        <v>125</v>
      </c>
      <c r="E33" s="14">
        <f t="shared" si="0"/>
        <v>150</v>
      </c>
      <c r="F33" s="14">
        <f>Table2[[#This Row],[Sales in 2022]]*($I$28+1)</f>
        <v>195.2525</v>
      </c>
      <c r="G33" s="17"/>
      <c r="H33" s="17"/>
    </row>
    <row r="34" spans="1:8" x14ac:dyDescent="0.2">
      <c r="A34" s="20" t="s">
        <v>33</v>
      </c>
      <c r="B34" s="8" t="s">
        <v>34</v>
      </c>
      <c r="C34" s="6">
        <f>COUNTIF('Dress Rental (QA)'!A:I,'1. Quick Analysis (QA)'!B34)</f>
        <v>8</v>
      </c>
      <c r="D34" s="14">
        <f>COUNTIFS('Dress Rental (QA)'!C:C,'1. Quick Analysis (QA)'!B10,'Dress Rental (QA)'!I:I,2022)*VLOOKUP(B10,'Dress Rental (QA)'!C:E,3,FALSE)</f>
        <v>600</v>
      </c>
      <c r="E34" s="14">
        <f t="shared" si="0"/>
        <v>720</v>
      </c>
      <c r="F34" s="14">
        <f>Table2[[#This Row],[Sales in 2022]]*($I$28+1)</f>
        <v>937.21199999999999</v>
      </c>
      <c r="G34" s="17"/>
      <c r="H34" s="17"/>
    </row>
    <row r="35" spans="1:8" x14ac:dyDescent="0.2">
      <c r="A35" s="20" t="s">
        <v>37</v>
      </c>
      <c r="B35" s="8" t="s">
        <v>38</v>
      </c>
      <c r="C35" s="6">
        <f>COUNTIF('Dress Rental (QA)'!A:I,'1. Quick Analysis (QA)'!B35)</f>
        <v>5</v>
      </c>
      <c r="D35" s="14">
        <f>COUNTIFS('Dress Rental (QA)'!C:C,'1. Quick Analysis (QA)'!B11,'Dress Rental (QA)'!I:I,2022)*VLOOKUP(B11,'Dress Rental (QA)'!C:E,3,FALSE)</f>
        <v>750</v>
      </c>
      <c r="E35" s="14">
        <f t="shared" si="0"/>
        <v>900</v>
      </c>
      <c r="F35" s="14">
        <f>Table2[[#This Row],[Sales in 2022]]*($I$28+1)</f>
        <v>1171.5149999999999</v>
      </c>
      <c r="G35" s="17"/>
      <c r="H35" s="17"/>
    </row>
    <row r="36" spans="1:8" x14ac:dyDescent="0.2">
      <c r="A36" s="20" t="s">
        <v>41</v>
      </c>
      <c r="B36" s="8" t="s">
        <v>42</v>
      </c>
      <c r="C36" s="6">
        <f>COUNTIF('Dress Rental (QA)'!A:I,'1. Quick Analysis (QA)'!B36)</f>
        <v>5</v>
      </c>
      <c r="D36" s="14">
        <f>COUNTIFS('Dress Rental (QA)'!C:C,'1. Quick Analysis (QA)'!B12,'Dress Rental (QA)'!I:I,2022)*VLOOKUP(B12,'Dress Rental (QA)'!C:E,3,FALSE)</f>
        <v>190</v>
      </c>
      <c r="E36" s="14">
        <f t="shared" si="0"/>
        <v>228</v>
      </c>
      <c r="F36" s="14">
        <f>Table2[[#This Row],[Sales in 2022]]*($I$28+1)</f>
        <v>296.78379999999999</v>
      </c>
      <c r="G36" s="17"/>
      <c r="H36" s="17"/>
    </row>
    <row r="37" spans="1:8" x14ac:dyDescent="0.2">
      <c r="A37" s="20" t="s">
        <v>45</v>
      </c>
      <c r="B37" s="8" t="s">
        <v>46</v>
      </c>
      <c r="C37" s="6">
        <f>COUNTIF('Dress Rental (QA)'!A:I,'1. Quick Analysis (QA)'!B37)</f>
        <v>6</v>
      </c>
      <c r="D37" s="14">
        <f>COUNTIFS('Dress Rental (QA)'!C:C,'1. Quick Analysis (QA)'!B13,'Dress Rental (QA)'!I:I,2022)*VLOOKUP(B13,'Dress Rental (QA)'!C:E,3,FALSE)</f>
        <v>600</v>
      </c>
      <c r="E37" s="14">
        <f t="shared" si="0"/>
        <v>720</v>
      </c>
      <c r="F37" s="14">
        <f>Table2[[#This Row],[Sales in 2022]]*($I$28+1)</f>
        <v>937.21199999999999</v>
      </c>
      <c r="G37" s="17"/>
      <c r="H37" s="17"/>
    </row>
    <row r="38" spans="1:8" x14ac:dyDescent="0.2">
      <c r="A38" s="20" t="s">
        <v>48</v>
      </c>
      <c r="B38" s="8" t="s">
        <v>49</v>
      </c>
      <c r="C38" s="6">
        <f>COUNTIF('Dress Rental (QA)'!A:I,'1. Quick Analysis (QA)'!B38)</f>
        <v>3</v>
      </c>
      <c r="D38" s="14">
        <f>COUNTIFS('Dress Rental (QA)'!C:C,'1. Quick Analysis (QA)'!B14,'Dress Rental (QA)'!I:I,2022)*VLOOKUP(B14,'Dress Rental (QA)'!C:E,3,FALSE)</f>
        <v>0</v>
      </c>
      <c r="E38" s="14">
        <f t="shared" si="0"/>
        <v>0</v>
      </c>
      <c r="F38" s="14">
        <f>Table2[[#This Row],[Sales in 2022]]*($I$28+1)</f>
        <v>0</v>
      </c>
      <c r="G38" s="17"/>
      <c r="H38" s="17"/>
    </row>
    <row r="39" spans="1:8" x14ac:dyDescent="0.2">
      <c r="A39" s="20" t="s">
        <v>52</v>
      </c>
      <c r="B39" s="8" t="s">
        <v>53</v>
      </c>
      <c r="C39" s="6">
        <f>COUNTIF('Dress Rental (QA)'!A:I,'1. Quick Analysis (QA)'!B39)</f>
        <v>3</v>
      </c>
      <c r="D39" s="14">
        <f>COUNTIFS('Dress Rental (QA)'!C:C,'1. Quick Analysis (QA)'!B15,'Dress Rental (QA)'!I:I,2022)*VLOOKUP(B15,'Dress Rental (QA)'!C:E,3,FALSE)</f>
        <v>0</v>
      </c>
      <c r="E39" s="14">
        <f t="shared" si="0"/>
        <v>0</v>
      </c>
      <c r="F39" s="14">
        <f>Table2[[#This Row],[Sales in 2022]]*($I$28+1)</f>
        <v>0</v>
      </c>
      <c r="G39" s="17"/>
      <c r="H39" s="17"/>
    </row>
    <row r="40" spans="1:8" x14ac:dyDescent="0.2">
      <c r="A40" s="20" t="s">
        <v>56</v>
      </c>
      <c r="B40" s="8" t="s">
        <v>57</v>
      </c>
      <c r="C40" s="6">
        <f>COUNTIF('Dress Rental (QA)'!A:I,'1. Quick Analysis (QA)'!B40)</f>
        <v>3</v>
      </c>
      <c r="D40" s="14">
        <f>COUNTIFS('Dress Rental (QA)'!C:C,'1. Quick Analysis (QA)'!B16,'Dress Rental (QA)'!I:I,2022)*VLOOKUP(B16,'Dress Rental (QA)'!C:E,3,FALSE)</f>
        <v>0</v>
      </c>
      <c r="E40" s="14">
        <f t="shared" si="0"/>
        <v>0</v>
      </c>
      <c r="F40" s="14">
        <f>Table2[[#This Row],[Sales in 2022]]*($I$28+1)</f>
        <v>0</v>
      </c>
      <c r="G40" s="17"/>
      <c r="H40" s="17"/>
    </row>
    <row r="41" spans="1:8" x14ac:dyDescent="0.2">
      <c r="A41" s="20" t="s">
        <v>59</v>
      </c>
      <c r="B41" s="8" t="s">
        <v>60</v>
      </c>
      <c r="C41" s="6">
        <f>COUNTIF('Dress Rental (QA)'!A:I,'1. Quick Analysis (QA)'!B41)</f>
        <v>3</v>
      </c>
      <c r="D41" s="14">
        <f>COUNTIFS('Dress Rental (QA)'!C:C,'1. Quick Analysis (QA)'!B17,'Dress Rental (QA)'!I:I,2022)*VLOOKUP(B17,'Dress Rental (QA)'!C:E,3,FALSE)</f>
        <v>165</v>
      </c>
      <c r="E41" s="14">
        <f t="shared" si="0"/>
        <v>198</v>
      </c>
      <c r="F41" s="14">
        <f>Table2[[#This Row],[Sales in 2022]]*($I$28+1)</f>
        <v>257.73329999999999</v>
      </c>
      <c r="G41" s="17"/>
      <c r="H41" s="17"/>
    </row>
    <row r="42" spans="1:8" x14ac:dyDescent="0.2">
      <c r="A42" s="20" t="s">
        <v>11</v>
      </c>
      <c r="B42" s="8" t="s">
        <v>158</v>
      </c>
      <c r="C42" s="6">
        <f>COUNTIF('Dress Rental (QA)'!A:I,'1. Quick Analysis (QA)'!B42)</f>
        <v>5</v>
      </c>
      <c r="D42" s="14">
        <f>COUNTIFS('Dress Rental (QA)'!C:C,'1. Quick Analysis (QA)'!B18,'Dress Rental (QA)'!I:I,2022)*VLOOKUP(B18,'Dress Rental (QA)'!C:E,3,FALSE)</f>
        <v>480</v>
      </c>
      <c r="E42" s="14">
        <f t="shared" si="0"/>
        <v>576</v>
      </c>
      <c r="F42" s="14">
        <f>Table2[[#This Row],[Sales in 2022]]*($I$28+1)</f>
        <v>749.76959999999997</v>
      </c>
      <c r="G42" s="17"/>
      <c r="H42" s="17"/>
    </row>
    <row r="43" spans="1:8" x14ac:dyDescent="0.2">
      <c r="A43" s="20" t="s">
        <v>15</v>
      </c>
      <c r="B43" s="8" t="s">
        <v>64</v>
      </c>
      <c r="C43" s="6">
        <f>COUNTIF('Dress Rental (QA)'!A:I,'1. Quick Analysis (QA)'!B43)</f>
        <v>7</v>
      </c>
      <c r="D43" s="14">
        <f>COUNTIFS('Dress Rental (QA)'!C:C,'1. Quick Analysis (QA)'!B19,'Dress Rental (QA)'!I:I,2022)*VLOOKUP(B19,'Dress Rental (QA)'!C:E,3,FALSE)</f>
        <v>525</v>
      </c>
      <c r="E43" s="14">
        <f t="shared" si="0"/>
        <v>630</v>
      </c>
      <c r="F43" s="14">
        <f>Table2[[#This Row],[Sales in 2022]]*($I$28+1)</f>
        <v>820.06049999999993</v>
      </c>
      <c r="G43" s="17"/>
      <c r="H43" s="17"/>
    </row>
    <row r="44" spans="1:8" x14ac:dyDescent="0.2">
      <c r="A44" s="20" t="s">
        <v>48</v>
      </c>
      <c r="B44" s="8" t="s">
        <v>66</v>
      </c>
      <c r="C44" s="6">
        <f>COUNTIF('Dress Rental (QA)'!A:I,'1. Quick Analysis (QA)'!B44)</f>
        <v>5</v>
      </c>
      <c r="D44" s="14">
        <f>COUNTIFS('Dress Rental (QA)'!C:C,'1. Quick Analysis (QA)'!B20,'Dress Rental (QA)'!I:I,2022)*VLOOKUP(B20,'Dress Rental (QA)'!C:E,3,FALSE)</f>
        <v>0</v>
      </c>
      <c r="E44" s="14">
        <f t="shared" si="0"/>
        <v>0</v>
      </c>
      <c r="F44" s="14">
        <f>Table2[[#This Row],[Sales in 2022]]*($I$28+1)</f>
        <v>0</v>
      </c>
      <c r="G44" s="17"/>
      <c r="H44" s="17"/>
    </row>
    <row r="45" spans="1:8" x14ac:dyDescent="0.2">
      <c r="A45" s="20" t="s">
        <v>59</v>
      </c>
      <c r="B45" s="8" t="s">
        <v>69</v>
      </c>
      <c r="C45" s="6">
        <f>COUNTIF('Dress Rental (QA)'!A:I,'1. Quick Analysis (QA)'!B45)</f>
        <v>5</v>
      </c>
      <c r="D45" s="14">
        <f>COUNTIFS('Dress Rental (QA)'!C:C,'1. Quick Analysis (QA)'!B21,'Dress Rental (QA)'!I:I,2022)*VLOOKUP(B21,'Dress Rental (QA)'!C:E,3,FALSE)</f>
        <v>350</v>
      </c>
      <c r="E45" s="14">
        <f t="shared" si="0"/>
        <v>420</v>
      </c>
      <c r="F45" s="14">
        <f>Table2[[#This Row],[Sales in 2022]]*($I$28+1)</f>
        <v>546.70699999999999</v>
      </c>
      <c r="G45" s="17"/>
      <c r="H45" s="17"/>
    </row>
    <row r="46" spans="1:8" x14ac:dyDescent="0.2">
      <c r="A46" s="21" t="s">
        <v>45</v>
      </c>
      <c r="B46" s="22" t="s">
        <v>72</v>
      </c>
      <c r="C46" s="23">
        <f>COUNTIF('Dress Rental (QA)'!A:I,'1. Quick Analysis (QA)'!B46)</f>
        <v>4</v>
      </c>
      <c r="D46" s="18">
        <f>COUNTIFS('Dress Rental (QA)'!C:C,'1. Quick Analysis (QA)'!B22,'Dress Rental (QA)'!I:I,2022)*VLOOKUP(B22,'Dress Rental (QA)'!C:E,3,FALSE)</f>
        <v>150</v>
      </c>
      <c r="E46" s="14">
        <f t="shared" si="0"/>
        <v>180</v>
      </c>
      <c r="F46" s="14">
        <f>Table2[[#This Row],[Sales in 2022]]*($I$28+1)</f>
        <v>234.303</v>
      </c>
      <c r="G46" s="17"/>
      <c r="H46" s="17"/>
    </row>
    <row r="47" spans="1:8" x14ac:dyDescent="0.2">
      <c r="A47" s="7"/>
      <c r="B47" s="7"/>
      <c r="C47" s="15" t="s">
        <v>162</v>
      </c>
      <c r="D47" s="16">
        <f>SUM(D27:D46)</f>
        <v>6402</v>
      </c>
      <c r="E47" s="16">
        <f>SUM(E27:E46)</f>
        <v>7682.4</v>
      </c>
      <c r="F47" s="16">
        <f>SUM(F27:F46)</f>
        <v>10000.052039999999</v>
      </c>
      <c r="G47" s="19"/>
      <c r="H47" s="19"/>
    </row>
  </sheetData>
  <sheetProtection sheet="1" autoFilter="0"/>
  <mergeCells count="2">
    <mergeCell ref="A1:E1"/>
    <mergeCell ref="A25:F25"/>
  </mergeCells>
  <phoneticPr fontId="9" type="noConversion"/>
  <pageMargins left="0.7" right="0.7" top="0.75" bottom="0.75" header="0.3" footer="0.3"/>
  <tableParts count="2">
    <tablePart r:id="rId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6B722A-D4E2-DA4F-9814-7FAB780F7FE7}">
  <sheetPr codeName="Sheet4"/>
  <dimension ref="A1:O103"/>
  <sheetViews>
    <sheetView zoomScale="135" zoomScaleNormal="135" workbookViewId="0">
      <selection activeCell="F12" sqref="F12"/>
    </sheetView>
  </sheetViews>
  <sheetFormatPr baseColWidth="10" defaultColWidth="8.83203125" defaultRowHeight="15" x14ac:dyDescent="0.2"/>
  <cols>
    <col min="1" max="1" width="26.33203125" customWidth="1"/>
    <col min="2" max="2" width="21.33203125" customWidth="1"/>
    <col min="4" max="4" width="12.33203125" bestFit="1" customWidth="1"/>
    <col min="5" max="5" width="9.33203125" bestFit="1" customWidth="1"/>
    <col min="6" max="6" width="18.5" style="3" bestFit="1" customWidth="1"/>
  </cols>
  <sheetData>
    <row r="1" spans="1:15" x14ac:dyDescent="0.2">
      <c r="A1" s="2" t="s">
        <v>0</v>
      </c>
      <c r="B1" s="2" t="s">
        <v>1</v>
      </c>
      <c r="C1" s="2" t="s">
        <v>2</v>
      </c>
      <c r="D1" s="2" t="s">
        <v>3</v>
      </c>
      <c r="E1" s="2" t="s">
        <v>5</v>
      </c>
      <c r="F1" s="2" t="s">
        <v>154</v>
      </c>
      <c r="H1" s="2"/>
      <c r="I1" s="2"/>
      <c r="J1" s="2"/>
      <c r="K1" s="2"/>
      <c r="L1" s="2"/>
      <c r="M1" s="2"/>
      <c r="N1" s="2"/>
      <c r="O1" s="2"/>
    </row>
    <row r="2" spans="1:15" hidden="1" x14ac:dyDescent="0.2">
      <c r="A2" t="s">
        <v>22</v>
      </c>
      <c r="B2" t="s">
        <v>23</v>
      </c>
      <c r="C2" t="s">
        <v>20</v>
      </c>
      <c r="D2" s="1">
        <v>199</v>
      </c>
      <c r="E2">
        <v>8</v>
      </c>
      <c r="F2" s="4">
        <v>44227</v>
      </c>
      <c r="L2" s="1"/>
      <c r="M2" s="1"/>
      <c r="O2" s="4"/>
    </row>
    <row r="3" spans="1:15" hidden="1" x14ac:dyDescent="0.2">
      <c r="A3" t="s">
        <v>22</v>
      </c>
      <c r="B3" t="s">
        <v>23</v>
      </c>
      <c r="C3" t="s">
        <v>20</v>
      </c>
      <c r="D3" s="1">
        <v>199</v>
      </c>
      <c r="E3">
        <v>9</v>
      </c>
      <c r="F3" s="4">
        <v>44479</v>
      </c>
      <c r="L3" s="1"/>
      <c r="M3" s="1"/>
      <c r="O3" s="4"/>
    </row>
    <row r="4" spans="1:15" hidden="1" x14ac:dyDescent="0.2">
      <c r="A4" t="s">
        <v>22</v>
      </c>
      <c r="B4" t="s">
        <v>23</v>
      </c>
      <c r="C4" t="s">
        <v>20</v>
      </c>
      <c r="D4" s="1">
        <v>199</v>
      </c>
      <c r="E4">
        <v>13</v>
      </c>
      <c r="F4" s="4">
        <v>44208</v>
      </c>
      <c r="L4" s="1"/>
      <c r="M4" s="1"/>
      <c r="O4" s="4"/>
    </row>
    <row r="5" spans="1:15" hidden="1" x14ac:dyDescent="0.2">
      <c r="A5" t="s">
        <v>22</v>
      </c>
      <c r="B5" t="s">
        <v>23</v>
      </c>
      <c r="C5" t="s">
        <v>20</v>
      </c>
      <c r="D5" s="1">
        <v>199</v>
      </c>
      <c r="E5">
        <v>11</v>
      </c>
      <c r="F5" s="4">
        <v>44215</v>
      </c>
      <c r="L5" s="1"/>
      <c r="M5" s="1"/>
      <c r="O5" s="4"/>
    </row>
    <row r="6" spans="1:15" hidden="1" x14ac:dyDescent="0.2">
      <c r="A6" t="s">
        <v>22</v>
      </c>
      <c r="B6" t="s">
        <v>23</v>
      </c>
      <c r="C6" t="s">
        <v>20</v>
      </c>
      <c r="D6" s="1">
        <v>199</v>
      </c>
      <c r="E6">
        <v>5</v>
      </c>
      <c r="F6" s="4">
        <v>44577</v>
      </c>
      <c r="L6" s="1"/>
      <c r="M6" s="1"/>
      <c r="O6" s="4"/>
    </row>
    <row r="7" spans="1:15" hidden="1" x14ac:dyDescent="0.2">
      <c r="A7" t="s">
        <v>22</v>
      </c>
      <c r="B7" t="s">
        <v>23</v>
      </c>
      <c r="C7" t="s">
        <v>20</v>
      </c>
      <c r="D7" s="1">
        <v>199</v>
      </c>
      <c r="E7">
        <v>11</v>
      </c>
      <c r="F7" s="4">
        <v>44562</v>
      </c>
      <c r="L7" s="1"/>
      <c r="M7" s="1"/>
      <c r="O7" s="4"/>
    </row>
    <row r="8" spans="1:15" hidden="1" x14ac:dyDescent="0.2">
      <c r="A8" t="s">
        <v>22</v>
      </c>
      <c r="B8" t="s">
        <v>23</v>
      </c>
      <c r="C8" t="s">
        <v>20</v>
      </c>
      <c r="D8" s="1">
        <v>199</v>
      </c>
      <c r="E8">
        <v>10</v>
      </c>
      <c r="F8" s="4">
        <v>44591</v>
      </c>
      <c r="L8" s="1"/>
      <c r="M8" s="1"/>
      <c r="O8" s="4"/>
    </row>
    <row r="9" spans="1:15" hidden="1" x14ac:dyDescent="0.2">
      <c r="A9" t="s">
        <v>15</v>
      </c>
      <c r="B9" t="s">
        <v>16</v>
      </c>
      <c r="C9" t="s">
        <v>9</v>
      </c>
      <c r="D9" s="1">
        <v>200</v>
      </c>
      <c r="E9">
        <v>8</v>
      </c>
      <c r="F9" s="4">
        <v>44455</v>
      </c>
      <c r="L9" s="1"/>
      <c r="M9" s="1"/>
      <c r="O9" s="4"/>
    </row>
    <row r="10" spans="1:15" x14ac:dyDescent="0.2">
      <c r="A10" t="s">
        <v>59</v>
      </c>
      <c r="B10" t="s">
        <v>69</v>
      </c>
      <c r="C10" t="s">
        <v>70</v>
      </c>
      <c r="D10" s="62">
        <v>175</v>
      </c>
      <c r="E10">
        <v>12</v>
      </c>
      <c r="F10" s="4">
        <v>44339</v>
      </c>
      <c r="L10" s="1"/>
      <c r="M10" s="1"/>
      <c r="O10" s="4"/>
    </row>
    <row r="11" spans="1:15" x14ac:dyDescent="0.2">
      <c r="A11" t="s">
        <v>59</v>
      </c>
      <c r="B11" t="s">
        <v>60</v>
      </c>
      <c r="C11" t="s">
        <v>61</v>
      </c>
      <c r="D11" s="62">
        <v>165</v>
      </c>
      <c r="E11">
        <v>11</v>
      </c>
      <c r="F11" s="4">
        <v>44240</v>
      </c>
      <c r="L11" s="1"/>
      <c r="M11" s="1"/>
      <c r="O11" s="4"/>
    </row>
    <row r="12" spans="1:15" x14ac:dyDescent="0.2">
      <c r="A12" t="s">
        <v>59</v>
      </c>
      <c r="B12" t="s">
        <v>60</v>
      </c>
      <c r="C12" t="s">
        <v>61</v>
      </c>
      <c r="D12" s="62">
        <v>165</v>
      </c>
      <c r="E12">
        <v>9</v>
      </c>
      <c r="F12" s="4">
        <v>44299</v>
      </c>
      <c r="L12" s="1"/>
      <c r="M12" s="1"/>
      <c r="O12" s="4"/>
    </row>
    <row r="13" spans="1:15" hidden="1" x14ac:dyDescent="0.2">
      <c r="A13" t="s">
        <v>15</v>
      </c>
      <c r="B13" t="s">
        <v>16</v>
      </c>
      <c r="C13" t="s">
        <v>9</v>
      </c>
      <c r="D13" s="1">
        <v>200</v>
      </c>
      <c r="E13">
        <v>13</v>
      </c>
      <c r="F13" s="4">
        <v>44707</v>
      </c>
      <c r="L13" s="1"/>
      <c r="M13" s="1"/>
      <c r="O13" s="4"/>
    </row>
    <row r="14" spans="1:15" x14ac:dyDescent="0.2">
      <c r="A14" t="s">
        <v>15</v>
      </c>
      <c r="B14" t="s">
        <v>16</v>
      </c>
      <c r="C14" t="s">
        <v>9</v>
      </c>
      <c r="D14" s="62">
        <v>200</v>
      </c>
      <c r="E14">
        <v>10</v>
      </c>
      <c r="F14" s="4">
        <v>44290</v>
      </c>
      <c r="L14" s="1"/>
      <c r="M14" s="1"/>
      <c r="O14" s="4"/>
    </row>
    <row r="15" spans="1:15" hidden="1" x14ac:dyDescent="0.2">
      <c r="A15" t="s">
        <v>37</v>
      </c>
      <c r="B15" t="s">
        <v>38</v>
      </c>
      <c r="C15" t="s">
        <v>39</v>
      </c>
      <c r="D15" s="1">
        <v>250</v>
      </c>
      <c r="E15">
        <v>7</v>
      </c>
      <c r="F15" s="4">
        <v>44720</v>
      </c>
      <c r="L15" s="1"/>
      <c r="M15" s="1"/>
      <c r="O15" s="4"/>
    </row>
    <row r="16" spans="1:15" hidden="1" x14ac:dyDescent="0.2">
      <c r="A16" t="s">
        <v>37</v>
      </c>
      <c r="B16" t="s">
        <v>38</v>
      </c>
      <c r="C16" t="s">
        <v>39</v>
      </c>
      <c r="D16" s="1">
        <v>250</v>
      </c>
      <c r="E16">
        <v>13</v>
      </c>
      <c r="F16" s="4">
        <v>44724</v>
      </c>
      <c r="L16" s="1"/>
      <c r="M16" s="1"/>
      <c r="O16" s="4"/>
    </row>
    <row r="17" spans="1:15" hidden="1" x14ac:dyDescent="0.2">
      <c r="A17" t="s">
        <v>37</v>
      </c>
      <c r="B17" t="s">
        <v>38</v>
      </c>
      <c r="C17" t="s">
        <v>39</v>
      </c>
      <c r="D17" s="1">
        <v>250</v>
      </c>
      <c r="E17">
        <v>10</v>
      </c>
      <c r="F17" s="4">
        <v>44604</v>
      </c>
      <c r="L17" s="1"/>
      <c r="M17" s="1"/>
      <c r="O17" s="4"/>
    </row>
    <row r="18" spans="1:15" hidden="1" x14ac:dyDescent="0.2">
      <c r="A18" t="s">
        <v>37</v>
      </c>
      <c r="B18" t="s">
        <v>38</v>
      </c>
      <c r="C18" t="s">
        <v>39</v>
      </c>
      <c r="D18" s="1">
        <v>250</v>
      </c>
      <c r="E18">
        <v>7</v>
      </c>
      <c r="F18" s="4">
        <v>44378</v>
      </c>
      <c r="L18" s="1"/>
      <c r="M18" s="1"/>
      <c r="O18" s="4"/>
    </row>
    <row r="19" spans="1:15" hidden="1" x14ac:dyDescent="0.2">
      <c r="A19" t="s">
        <v>37</v>
      </c>
      <c r="B19" t="s">
        <v>38</v>
      </c>
      <c r="C19" t="s">
        <v>39</v>
      </c>
      <c r="D19" s="1">
        <v>250</v>
      </c>
      <c r="E19">
        <v>7</v>
      </c>
      <c r="F19" s="4">
        <v>44297</v>
      </c>
      <c r="L19" s="1"/>
      <c r="M19" s="1"/>
      <c r="O19" s="4"/>
    </row>
    <row r="20" spans="1:15" hidden="1" x14ac:dyDescent="0.2">
      <c r="A20" t="s">
        <v>15</v>
      </c>
      <c r="B20" t="s">
        <v>64</v>
      </c>
      <c r="C20" t="s">
        <v>39</v>
      </c>
      <c r="D20" s="1">
        <v>175</v>
      </c>
      <c r="E20">
        <v>8</v>
      </c>
      <c r="F20" s="4">
        <v>44692</v>
      </c>
      <c r="L20" s="1"/>
      <c r="M20" s="1"/>
      <c r="O20" s="4"/>
    </row>
    <row r="21" spans="1:15" hidden="1" x14ac:dyDescent="0.2">
      <c r="A21" t="s">
        <v>15</v>
      </c>
      <c r="B21" t="s">
        <v>64</v>
      </c>
      <c r="C21" t="s">
        <v>39</v>
      </c>
      <c r="D21" s="1">
        <v>175</v>
      </c>
      <c r="E21">
        <v>8</v>
      </c>
      <c r="F21" s="4">
        <v>44350</v>
      </c>
      <c r="L21" s="1"/>
      <c r="M21" s="1"/>
      <c r="O21" s="4"/>
    </row>
    <row r="22" spans="1:15" hidden="1" x14ac:dyDescent="0.2">
      <c r="A22" t="s">
        <v>15</v>
      </c>
      <c r="B22" t="s">
        <v>64</v>
      </c>
      <c r="C22" t="s">
        <v>39</v>
      </c>
      <c r="D22" s="1">
        <v>175</v>
      </c>
      <c r="E22">
        <v>7</v>
      </c>
      <c r="F22" s="4">
        <v>44201</v>
      </c>
      <c r="L22" s="1"/>
      <c r="M22" s="1"/>
      <c r="O22" s="4"/>
    </row>
    <row r="23" spans="1:15" x14ac:dyDescent="0.2">
      <c r="A23" t="s">
        <v>15</v>
      </c>
      <c r="B23" t="s">
        <v>16</v>
      </c>
      <c r="C23" t="s">
        <v>9</v>
      </c>
      <c r="D23" s="62">
        <v>200</v>
      </c>
      <c r="E23">
        <v>13</v>
      </c>
      <c r="F23" s="4">
        <v>44486</v>
      </c>
      <c r="L23" s="1"/>
      <c r="M23" s="1"/>
      <c r="O23" s="4"/>
    </row>
    <row r="24" spans="1:15" x14ac:dyDescent="0.2">
      <c r="A24" t="s">
        <v>15</v>
      </c>
      <c r="B24" t="s">
        <v>16</v>
      </c>
      <c r="C24" t="s">
        <v>9</v>
      </c>
      <c r="D24" s="62">
        <v>200</v>
      </c>
      <c r="E24">
        <v>9</v>
      </c>
      <c r="F24" s="4">
        <v>44450</v>
      </c>
      <c r="L24" s="1"/>
      <c r="M24" s="1"/>
      <c r="O24" s="4"/>
    </row>
    <row r="25" spans="1:15" hidden="1" x14ac:dyDescent="0.2">
      <c r="A25" t="s">
        <v>15</v>
      </c>
      <c r="B25" t="s">
        <v>64</v>
      </c>
      <c r="C25" t="s">
        <v>39</v>
      </c>
      <c r="D25" s="1">
        <v>175</v>
      </c>
      <c r="E25">
        <v>12</v>
      </c>
      <c r="F25" s="4">
        <v>44657</v>
      </c>
      <c r="L25" s="1"/>
      <c r="M25" s="1"/>
      <c r="O25" s="4"/>
    </row>
    <row r="26" spans="1:15" hidden="1" x14ac:dyDescent="0.2">
      <c r="A26" t="s">
        <v>15</v>
      </c>
      <c r="B26" t="s">
        <v>64</v>
      </c>
      <c r="C26" t="s">
        <v>39</v>
      </c>
      <c r="D26" s="1">
        <v>175</v>
      </c>
      <c r="E26">
        <v>5</v>
      </c>
      <c r="F26" s="4">
        <v>44683</v>
      </c>
      <c r="L26" s="1"/>
      <c r="M26" s="1"/>
      <c r="O26" s="4"/>
    </row>
    <row r="27" spans="1:15" x14ac:dyDescent="0.2">
      <c r="A27" t="s">
        <v>15</v>
      </c>
      <c r="B27" t="s">
        <v>16</v>
      </c>
      <c r="C27" t="s">
        <v>9</v>
      </c>
      <c r="D27" s="62">
        <v>200</v>
      </c>
      <c r="E27">
        <v>9</v>
      </c>
      <c r="F27" s="4">
        <v>44299</v>
      </c>
      <c r="L27" s="1"/>
      <c r="M27" s="1"/>
      <c r="O27" s="4"/>
    </row>
    <row r="28" spans="1:15" x14ac:dyDescent="0.2">
      <c r="A28" t="s">
        <v>15</v>
      </c>
      <c r="B28" t="s">
        <v>64</v>
      </c>
      <c r="C28" t="s">
        <v>39</v>
      </c>
      <c r="D28" s="62">
        <v>175</v>
      </c>
      <c r="E28">
        <v>12</v>
      </c>
      <c r="F28" s="4">
        <v>44288</v>
      </c>
      <c r="L28" s="1"/>
      <c r="M28" s="1"/>
      <c r="O28" s="4"/>
    </row>
    <row r="29" spans="1:15" hidden="1" x14ac:dyDescent="0.2">
      <c r="A29" t="s">
        <v>29</v>
      </c>
      <c r="B29" t="s">
        <v>30</v>
      </c>
      <c r="C29" t="s">
        <v>31</v>
      </c>
      <c r="D29" s="1">
        <v>125</v>
      </c>
      <c r="E29">
        <v>5</v>
      </c>
      <c r="F29" s="4">
        <v>44218</v>
      </c>
      <c r="L29" s="1"/>
      <c r="M29" s="1"/>
      <c r="O29" s="4"/>
    </row>
    <row r="30" spans="1:15" x14ac:dyDescent="0.2">
      <c r="A30" t="s">
        <v>15</v>
      </c>
      <c r="B30" t="s">
        <v>64</v>
      </c>
      <c r="C30" t="s">
        <v>39</v>
      </c>
      <c r="D30" s="62">
        <v>175</v>
      </c>
      <c r="E30">
        <v>12</v>
      </c>
      <c r="F30" s="4">
        <v>44295</v>
      </c>
      <c r="L30" s="1"/>
      <c r="M30" s="1"/>
      <c r="O30" s="4"/>
    </row>
    <row r="31" spans="1:15" hidden="1" x14ac:dyDescent="0.2">
      <c r="A31" t="s">
        <v>29</v>
      </c>
      <c r="B31" t="s">
        <v>30</v>
      </c>
      <c r="C31" t="s">
        <v>31</v>
      </c>
      <c r="D31" s="1">
        <v>125</v>
      </c>
      <c r="E31">
        <v>8</v>
      </c>
      <c r="F31" s="4">
        <v>44267</v>
      </c>
      <c r="L31" s="1"/>
      <c r="M31" s="1"/>
      <c r="O31" s="4"/>
    </row>
    <row r="32" spans="1:15" hidden="1" x14ac:dyDescent="0.2">
      <c r="A32" t="s">
        <v>29</v>
      </c>
      <c r="B32" t="s">
        <v>30</v>
      </c>
      <c r="C32" t="s">
        <v>31</v>
      </c>
      <c r="D32" s="1">
        <v>125</v>
      </c>
      <c r="E32">
        <v>5</v>
      </c>
      <c r="F32" s="4">
        <v>44472</v>
      </c>
      <c r="L32" s="1"/>
      <c r="M32" s="1"/>
      <c r="O32" s="4"/>
    </row>
    <row r="33" spans="1:15" hidden="1" x14ac:dyDescent="0.2">
      <c r="A33" t="s">
        <v>29</v>
      </c>
      <c r="B33" t="s">
        <v>30</v>
      </c>
      <c r="C33" t="s">
        <v>31</v>
      </c>
      <c r="D33" s="1">
        <v>125</v>
      </c>
      <c r="E33">
        <v>9</v>
      </c>
      <c r="F33" s="4">
        <v>44687</v>
      </c>
      <c r="L33" s="1"/>
      <c r="M33" s="1"/>
      <c r="O33" s="4"/>
    </row>
    <row r="34" spans="1:15" hidden="1" x14ac:dyDescent="0.2">
      <c r="A34" t="s">
        <v>25</v>
      </c>
      <c r="B34" t="s">
        <v>26</v>
      </c>
      <c r="C34" t="s">
        <v>27</v>
      </c>
      <c r="D34" s="1">
        <v>150</v>
      </c>
      <c r="E34">
        <v>7</v>
      </c>
      <c r="F34" s="4">
        <v>44357</v>
      </c>
      <c r="L34" s="1"/>
      <c r="M34" s="1"/>
      <c r="O34" s="4"/>
    </row>
    <row r="35" spans="1:15" hidden="1" x14ac:dyDescent="0.2">
      <c r="A35" t="s">
        <v>25</v>
      </c>
      <c r="B35" t="s">
        <v>26</v>
      </c>
      <c r="C35" t="s">
        <v>27</v>
      </c>
      <c r="D35" s="1">
        <v>150</v>
      </c>
      <c r="E35">
        <v>9</v>
      </c>
      <c r="F35" s="4">
        <v>44621</v>
      </c>
      <c r="L35" s="1"/>
      <c r="M35" s="1"/>
      <c r="O35" s="4"/>
    </row>
    <row r="36" spans="1:15" hidden="1" x14ac:dyDescent="0.2">
      <c r="A36" t="s">
        <v>25</v>
      </c>
      <c r="B36" t="s">
        <v>26</v>
      </c>
      <c r="C36" t="s">
        <v>27</v>
      </c>
      <c r="D36" s="1">
        <v>150</v>
      </c>
      <c r="E36">
        <v>8</v>
      </c>
      <c r="F36" s="4">
        <v>44521</v>
      </c>
      <c r="L36" s="1"/>
      <c r="M36" s="1"/>
      <c r="O36" s="4"/>
    </row>
    <row r="37" spans="1:15" hidden="1" x14ac:dyDescent="0.2">
      <c r="A37" t="s">
        <v>25</v>
      </c>
      <c r="B37" t="s">
        <v>26</v>
      </c>
      <c r="C37" t="s">
        <v>27</v>
      </c>
      <c r="D37" s="1">
        <v>150</v>
      </c>
      <c r="E37">
        <v>10</v>
      </c>
      <c r="F37" s="4">
        <v>44386</v>
      </c>
      <c r="L37" s="1"/>
      <c r="M37" s="1"/>
      <c r="O37" s="4"/>
    </row>
    <row r="38" spans="1:15" hidden="1" x14ac:dyDescent="0.2">
      <c r="A38" t="s">
        <v>25</v>
      </c>
      <c r="B38" t="s">
        <v>26</v>
      </c>
      <c r="C38" t="s">
        <v>27</v>
      </c>
      <c r="D38" s="1">
        <v>150</v>
      </c>
      <c r="E38">
        <v>6</v>
      </c>
      <c r="F38" s="4">
        <v>44329</v>
      </c>
      <c r="L38" s="1"/>
      <c r="M38" s="1"/>
      <c r="O38" s="4"/>
    </row>
    <row r="39" spans="1:15" hidden="1" x14ac:dyDescent="0.2">
      <c r="A39" t="s">
        <v>33</v>
      </c>
      <c r="B39" t="s">
        <v>34</v>
      </c>
      <c r="C39" t="s">
        <v>35</v>
      </c>
      <c r="D39" s="1">
        <v>150</v>
      </c>
      <c r="E39">
        <v>5</v>
      </c>
      <c r="F39" s="4">
        <v>44661</v>
      </c>
      <c r="L39" s="1"/>
      <c r="M39" s="1"/>
      <c r="O39" s="4"/>
    </row>
    <row r="40" spans="1:15" hidden="1" x14ac:dyDescent="0.2">
      <c r="A40" t="s">
        <v>33</v>
      </c>
      <c r="B40" t="s">
        <v>34</v>
      </c>
      <c r="C40" t="s">
        <v>35</v>
      </c>
      <c r="D40" s="1">
        <v>150</v>
      </c>
      <c r="E40">
        <v>5</v>
      </c>
      <c r="F40" s="4">
        <v>44349</v>
      </c>
      <c r="L40" s="1"/>
      <c r="M40" s="1"/>
      <c r="O40" s="4"/>
    </row>
    <row r="41" spans="1:15" hidden="1" x14ac:dyDescent="0.2">
      <c r="A41" t="s">
        <v>33</v>
      </c>
      <c r="B41" t="s">
        <v>34</v>
      </c>
      <c r="C41" t="s">
        <v>35</v>
      </c>
      <c r="D41" s="1">
        <v>150</v>
      </c>
      <c r="E41">
        <v>8</v>
      </c>
      <c r="F41" s="4">
        <v>44683</v>
      </c>
      <c r="L41" s="1"/>
      <c r="M41" s="1"/>
      <c r="O41" s="4"/>
    </row>
    <row r="42" spans="1:15" hidden="1" x14ac:dyDescent="0.2">
      <c r="A42" t="s">
        <v>33</v>
      </c>
      <c r="B42" t="s">
        <v>34</v>
      </c>
      <c r="C42" t="s">
        <v>35</v>
      </c>
      <c r="D42" s="1">
        <v>150</v>
      </c>
      <c r="E42">
        <v>7</v>
      </c>
      <c r="F42" s="4">
        <v>44562</v>
      </c>
      <c r="L42" s="1"/>
      <c r="M42" s="1"/>
      <c r="O42" s="4"/>
    </row>
    <row r="43" spans="1:15" hidden="1" x14ac:dyDescent="0.2">
      <c r="A43" t="s">
        <v>33</v>
      </c>
      <c r="B43" t="s">
        <v>34</v>
      </c>
      <c r="C43" t="s">
        <v>35</v>
      </c>
      <c r="D43" s="1">
        <v>150</v>
      </c>
      <c r="E43">
        <v>5</v>
      </c>
      <c r="F43" s="4">
        <v>44218</v>
      </c>
      <c r="L43" s="1"/>
      <c r="M43" s="1"/>
      <c r="O43" s="4"/>
    </row>
    <row r="44" spans="1:15" hidden="1" x14ac:dyDescent="0.2">
      <c r="A44" t="s">
        <v>33</v>
      </c>
      <c r="B44" t="s">
        <v>34</v>
      </c>
      <c r="C44" t="s">
        <v>35</v>
      </c>
      <c r="D44" s="1">
        <v>150</v>
      </c>
      <c r="E44">
        <v>8</v>
      </c>
      <c r="F44" s="4">
        <v>44553</v>
      </c>
      <c r="L44" s="1"/>
      <c r="M44" s="1"/>
      <c r="O44" s="4"/>
    </row>
    <row r="45" spans="1:15" hidden="1" x14ac:dyDescent="0.2">
      <c r="A45" t="s">
        <v>33</v>
      </c>
      <c r="B45" t="s">
        <v>34</v>
      </c>
      <c r="C45" t="s">
        <v>35</v>
      </c>
      <c r="D45" s="1">
        <v>150</v>
      </c>
      <c r="E45">
        <v>11</v>
      </c>
      <c r="F45" s="4">
        <v>44642</v>
      </c>
      <c r="L45" s="1"/>
      <c r="M45" s="1"/>
      <c r="O45" s="4"/>
    </row>
    <row r="46" spans="1:15" hidden="1" x14ac:dyDescent="0.2">
      <c r="A46" t="s">
        <v>33</v>
      </c>
      <c r="B46" t="s">
        <v>34</v>
      </c>
      <c r="C46" t="s">
        <v>35</v>
      </c>
      <c r="D46" s="1">
        <v>150</v>
      </c>
      <c r="E46">
        <v>12</v>
      </c>
      <c r="F46" s="4">
        <v>44289</v>
      </c>
      <c r="L46" s="1"/>
      <c r="M46" s="1"/>
      <c r="O46" s="4"/>
    </row>
    <row r="47" spans="1:15" hidden="1" x14ac:dyDescent="0.2">
      <c r="A47" t="s">
        <v>18</v>
      </c>
      <c r="B47" t="s">
        <v>19</v>
      </c>
      <c r="C47" t="s">
        <v>20</v>
      </c>
      <c r="D47" s="1">
        <v>250</v>
      </c>
      <c r="E47">
        <v>7</v>
      </c>
      <c r="F47" s="4">
        <v>44291</v>
      </c>
      <c r="L47" s="1"/>
      <c r="M47" s="1"/>
      <c r="O47" s="4"/>
    </row>
    <row r="48" spans="1:15" hidden="1" x14ac:dyDescent="0.2">
      <c r="A48" t="s">
        <v>18</v>
      </c>
      <c r="B48" t="s">
        <v>19</v>
      </c>
      <c r="C48" t="s">
        <v>20</v>
      </c>
      <c r="D48" s="1">
        <v>250</v>
      </c>
      <c r="E48">
        <v>8</v>
      </c>
      <c r="F48" s="4">
        <v>44622</v>
      </c>
      <c r="L48" s="1"/>
      <c r="M48" s="1"/>
      <c r="O48" s="4"/>
    </row>
    <row r="49" spans="1:15" hidden="1" x14ac:dyDescent="0.2">
      <c r="A49" t="s">
        <v>18</v>
      </c>
      <c r="B49" t="s">
        <v>19</v>
      </c>
      <c r="C49" t="s">
        <v>20</v>
      </c>
      <c r="D49" s="1">
        <v>250</v>
      </c>
      <c r="E49">
        <v>5</v>
      </c>
      <c r="F49" s="4">
        <v>44371</v>
      </c>
      <c r="L49" s="1"/>
      <c r="M49" s="1"/>
      <c r="O49" s="4"/>
    </row>
    <row r="50" spans="1:15" hidden="1" x14ac:dyDescent="0.2">
      <c r="A50" t="s">
        <v>18</v>
      </c>
      <c r="B50" t="s">
        <v>19</v>
      </c>
      <c r="C50" t="s">
        <v>20</v>
      </c>
      <c r="D50" s="1">
        <v>250</v>
      </c>
      <c r="E50">
        <v>11</v>
      </c>
      <c r="F50" s="4">
        <v>44612</v>
      </c>
      <c r="L50" s="1"/>
      <c r="M50" s="1"/>
      <c r="O50" s="4"/>
    </row>
    <row r="51" spans="1:15" hidden="1" x14ac:dyDescent="0.2">
      <c r="A51" t="s">
        <v>18</v>
      </c>
      <c r="B51" t="s">
        <v>19</v>
      </c>
      <c r="C51" t="s">
        <v>20</v>
      </c>
      <c r="D51" s="1">
        <v>250</v>
      </c>
      <c r="E51">
        <v>11</v>
      </c>
      <c r="F51" s="4">
        <v>44678</v>
      </c>
      <c r="L51" s="1"/>
      <c r="M51" s="1"/>
      <c r="O51" s="4"/>
    </row>
    <row r="52" spans="1:15" hidden="1" x14ac:dyDescent="0.2">
      <c r="A52" t="s">
        <v>18</v>
      </c>
      <c r="B52" t="s">
        <v>19</v>
      </c>
      <c r="C52" t="s">
        <v>20</v>
      </c>
      <c r="D52" s="1">
        <v>250</v>
      </c>
      <c r="E52">
        <v>11</v>
      </c>
      <c r="F52" s="4">
        <v>44722</v>
      </c>
      <c r="L52" s="1"/>
      <c r="M52" s="1"/>
      <c r="O52" s="4"/>
    </row>
    <row r="53" spans="1:15" hidden="1" x14ac:dyDescent="0.2">
      <c r="A53" t="s">
        <v>11</v>
      </c>
      <c r="B53" t="s">
        <v>12</v>
      </c>
      <c r="C53" t="s">
        <v>13</v>
      </c>
      <c r="D53" s="1">
        <v>110</v>
      </c>
      <c r="E53">
        <v>12</v>
      </c>
      <c r="F53" s="4">
        <v>44564</v>
      </c>
      <c r="L53" s="1"/>
      <c r="M53" s="1"/>
      <c r="O53" s="4"/>
    </row>
    <row r="54" spans="1:15" hidden="1" x14ac:dyDescent="0.2">
      <c r="A54" t="s">
        <v>11</v>
      </c>
      <c r="B54" t="s">
        <v>12</v>
      </c>
      <c r="C54" t="s">
        <v>13</v>
      </c>
      <c r="D54" s="1">
        <v>110</v>
      </c>
      <c r="E54">
        <v>10</v>
      </c>
      <c r="F54" s="4">
        <v>44728</v>
      </c>
      <c r="L54" s="1"/>
      <c r="M54" s="1"/>
      <c r="O54" s="4"/>
    </row>
    <row r="55" spans="1:15" hidden="1" x14ac:dyDescent="0.2">
      <c r="A55" t="s">
        <v>11</v>
      </c>
      <c r="B55" t="s">
        <v>12</v>
      </c>
      <c r="C55" t="s">
        <v>13</v>
      </c>
      <c r="D55" s="1">
        <v>110</v>
      </c>
      <c r="E55">
        <v>7</v>
      </c>
      <c r="F55" s="4">
        <v>44276</v>
      </c>
      <c r="L55" s="1"/>
      <c r="M55" s="1"/>
      <c r="O55" s="4"/>
    </row>
    <row r="56" spans="1:15" hidden="1" x14ac:dyDescent="0.2">
      <c r="A56" t="s">
        <v>41</v>
      </c>
      <c r="B56" t="s">
        <v>42</v>
      </c>
      <c r="C56" t="s">
        <v>43</v>
      </c>
      <c r="D56" s="1">
        <v>190</v>
      </c>
      <c r="E56">
        <v>10</v>
      </c>
      <c r="F56" s="4">
        <v>44396</v>
      </c>
      <c r="L56" s="1"/>
      <c r="M56" s="1"/>
      <c r="O56" s="4"/>
    </row>
    <row r="57" spans="1:15" hidden="1" x14ac:dyDescent="0.2">
      <c r="A57" t="s">
        <v>41</v>
      </c>
      <c r="B57" t="s">
        <v>42</v>
      </c>
      <c r="C57" t="s">
        <v>43</v>
      </c>
      <c r="D57" s="1">
        <v>190</v>
      </c>
      <c r="E57">
        <v>5</v>
      </c>
      <c r="F57" s="4">
        <v>44496</v>
      </c>
      <c r="L57" s="1"/>
      <c r="M57" s="1"/>
      <c r="O57" s="4"/>
    </row>
    <row r="58" spans="1:15" hidden="1" x14ac:dyDescent="0.2">
      <c r="A58" t="s">
        <v>41</v>
      </c>
      <c r="B58" t="s">
        <v>42</v>
      </c>
      <c r="C58" t="s">
        <v>43</v>
      </c>
      <c r="D58" s="1">
        <v>190</v>
      </c>
      <c r="E58">
        <v>10</v>
      </c>
      <c r="F58" s="4">
        <v>44474</v>
      </c>
      <c r="L58" s="1"/>
      <c r="M58" s="1"/>
      <c r="O58" s="4"/>
    </row>
    <row r="59" spans="1:15" hidden="1" x14ac:dyDescent="0.2">
      <c r="A59" t="s">
        <v>41</v>
      </c>
      <c r="B59" t="s">
        <v>42</v>
      </c>
      <c r="C59" t="s">
        <v>43</v>
      </c>
      <c r="D59" s="1">
        <v>190</v>
      </c>
      <c r="E59">
        <v>7</v>
      </c>
      <c r="F59" s="4">
        <v>44612</v>
      </c>
      <c r="L59" s="1"/>
      <c r="M59" s="1"/>
      <c r="O59" s="4"/>
    </row>
    <row r="60" spans="1:15" hidden="1" x14ac:dyDescent="0.2">
      <c r="A60" t="s">
        <v>41</v>
      </c>
      <c r="B60" t="s">
        <v>42</v>
      </c>
      <c r="C60" t="s">
        <v>43</v>
      </c>
      <c r="D60" s="1">
        <v>190</v>
      </c>
      <c r="E60">
        <v>8</v>
      </c>
      <c r="F60" s="4">
        <v>44559</v>
      </c>
      <c r="L60" s="1"/>
      <c r="M60" s="1"/>
      <c r="O60" s="4"/>
    </row>
    <row r="61" spans="1:15" hidden="1" x14ac:dyDescent="0.2">
      <c r="A61" t="s">
        <v>45</v>
      </c>
      <c r="B61" t="s">
        <v>46</v>
      </c>
      <c r="C61" t="s">
        <v>43</v>
      </c>
      <c r="D61" s="1">
        <v>150</v>
      </c>
      <c r="E61">
        <v>5</v>
      </c>
      <c r="F61" s="4">
        <v>44581</v>
      </c>
      <c r="L61" s="1"/>
      <c r="M61" s="1"/>
      <c r="O61" s="4"/>
    </row>
    <row r="62" spans="1:15" hidden="1" x14ac:dyDescent="0.2">
      <c r="A62" t="s">
        <v>45</v>
      </c>
      <c r="B62" t="s">
        <v>46</v>
      </c>
      <c r="C62" t="s">
        <v>43</v>
      </c>
      <c r="D62" s="1">
        <v>150</v>
      </c>
      <c r="E62">
        <v>11</v>
      </c>
      <c r="F62" s="4">
        <v>44580</v>
      </c>
      <c r="L62" s="1"/>
      <c r="M62" s="1"/>
      <c r="O62" s="4"/>
    </row>
    <row r="63" spans="1:15" hidden="1" x14ac:dyDescent="0.2">
      <c r="A63" t="s">
        <v>45</v>
      </c>
      <c r="B63" t="s">
        <v>46</v>
      </c>
      <c r="C63" t="s">
        <v>43</v>
      </c>
      <c r="D63" s="1">
        <v>150</v>
      </c>
      <c r="E63">
        <v>7</v>
      </c>
      <c r="F63" s="4">
        <v>44655</v>
      </c>
      <c r="L63" s="1"/>
      <c r="M63" s="1"/>
      <c r="O63" s="4"/>
    </row>
    <row r="64" spans="1:15" hidden="1" x14ac:dyDescent="0.2">
      <c r="A64" t="s">
        <v>45</v>
      </c>
      <c r="B64" t="s">
        <v>46</v>
      </c>
      <c r="C64" t="s">
        <v>43</v>
      </c>
      <c r="D64" s="1">
        <v>150</v>
      </c>
      <c r="E64">
        <v>10</v>
      </c>
      <c r="F64" s="4">
        <v>44560</v>
      </c>
      <c r="L64" s="1"/>
      <c r="M64" s="1"/>
      <c r="O64" s="4"/>
    </row>
    <row r="65" spans="1:15" hidden="1" x14ac:dyDescent="0.2">
      <c r="A65" t="s">
        <v>45</v>
      </c>
      <c r="B65" t="s">
        <v>46</v>
      </c>
      <c r="C65" t="s">
        <v>43</v>
      </c>
      <c r="D65" s="1">
        <v>150</v>
      </c>
      <c r="E65">
        <v>9</v>
      </c>
      <c r="F65" s="4">
        <v>44340</v>
      </c>
      <c r="L65" s="1"/>
      <c r="M65" s="1"/>
      <c r="O65" s="4"/>
    </row>
    <row r="66" spans="1:15" hidden="1" x14ac:dyDescent="0.2">
      <c r="A66" t="s">
        <v>45</v>
      </c>
      <c r="B66" t="s">
        <v>46</v>
      </c>
      <c r="C66" t="s">
        <v>43</v>
      </c>
      <c r="D66" s="1">
        <v>150</v>
      </c>
      <c r="E66">
        <v>8</v>
      </c>
      <c r="F66" s="4">
        <v>44734</v>
      </c>
      <c r="L66" s="1"/>
      <c r="M66" s="1"/>
      <c r="O66" s="4"/>
    </row>
    <row r="67" spans="1:15" hidden="1" x14ac:dyDescent="0.2">
      <c r="A67" t="s">
        <v>56</v>
      </c>
      <c r="B67" t="s">
        <v>57</v>
      </c>
      <c r="C67" t="s">
        <v>27</v>
      </c>
      <c r="D67" s="1">
        <v>50</v>
      </c>
      <c r="E67">
        <v>6</v>
      </c>
      <c r="F67" s="4">
        <v>44244</v>
      </c>
      <c r="L67" s="1"/>
      <c r="M67" s="1"/>
      <c r="O67" s="4"/>
    </row>
    <row r="68" spans="1:15" hidden="1" x14ac:dyDescent="0.2">
      <c r="A68" t="s">
        <v>56</v>
      </c>
      <c r="B68" t="s">
        <v>57</v>
      </c>
      <c r="C68" t="s">
        <v>27</v>
      </c>
      <c r="D68" s="1">
        <v>50</v>
      </c>
      <c r="E68">
        <v>8</v>
      </c>
      <c r="F68" s="4">
        <v>44496</v>
      </c>
      <c r="L68" s="1"/>
      <c r="M68" s="1"/>
      <c r="O68" s="4"/>
    </row>
    <row r="69" spans="1:15" hidden="1" x14ac:dyDescent="0.2">
      <c r="A69" t="s">
        <v>56</v>
      </c>
      <c r="B69" t="s">
        <v>57</v>
      </c>
      <c r="C69" t="s">
        <v>27</v>
      </c>
      <c r="D69" s="1">
        <v>50</v>
      </c>
      <c r="E69">
        <v>11</v>
      </c>
      <c r="F69" s="4">
        <v>44405</v>
      </c>
      <c r="L69" s="1"/>
      <c r="M69" s="1"/>
      <c r="O69" s="4"/>
    </row>
    <row r="70" spans="1:15" hidden="1" x14ac:dyDescent="0.2">
      <c r="A70" t="s">
        <v>52</v>
      </c>
      <c r="B70" t="s">
        <v>53</v>
      </c>
      <c r="C70" t="s">
        <v>54</v>
      </c>
      <c r="D70" s="1">
        <v>150</v>
      </c>
      <c r="E70">
        <v>12</v>
      </c>
      <c r="F70" s="4">
        <v>44436</v>
      </c>
      <c r="L70" s="1"/>
      <c r="M70" s="1"/>
      <c r="O70" s="4"/>
    </row>
    <row r="71" spans="1:15" hidden="1" x14ac:dyDescent="0.2">
      <c r="A71" t="s">
        <v>52</v>
      </c>
      <c r="B71" t="s">
        <v>53</v>
      </c>
      <c r="C71" t="s">
        <v>54</v>
      </c>
      <c r="D71" s="1">
        <v>150</v>
      </c>
      <c r="E71">
        <v>7</v>
      </c>
      <c r="F71" s="4">
        <v>44377</v>
      </c>
      <c r="L71" s="1"/>
      <c r="M71" s="1"/>
      <c r="O71" s="4"/>
    </row>
    <row r="72" spans="1:15" hidden="1" x14ac:dyDescent="0.2">
      <c r="A72" t="s">
        <v>52</v>
      </c>
      <c r="B72" t="s">
        <v>53</v>
      </c>
      <c r="C72" t="s">
        <v>54</v>
      </c>
      <c r="D72" s="1">
        <v>150</v>
      </c>
      <c r="E72">
        <v>6</v>
      </c>
      <c r="F72" s="4">
        <v>44384</v>
      </c>
      <c r="L72" s="1"/>
      <c r="M72" s="1"/>
      <c r="O72" s="4"/>
    </row>
    <row r="73" spans="1:15" hidden="1" x14ac:dyDescent="0.2">
      <c r="A73" t="s">
        <v>7</v>
      </c>
      <c r="B73" t="s">
        <v>8</v>
      </c>
      <c r="C73" t="s">
        <v>9</v>
      </c>
      <c r="D73" s="1">
        <v>150</v>
      </c>
      <c r="E73">
        <v>6</v>
      </c>
      <c r="F73" s="4">
        <v>44448</v>
      </c>
      <c r="L73" s="1"/>
      <c r="M73" s="1"/>
      <c r="O73" s="4"/>
    </row>
    <row r="74" spans="1:15" hidden="1" x14ac:dyDescent="0.2">
      <c r="A74" t="s">
        <v>7</v>
      </c>
      <c r="B74" t="s">
        <v>8</v>
      </c>
      <c r="C74" t="s">
        <v>9</v>
      </c>
      <c r="D74" s="1">
        <v>150</v>
      </c>
      <c r="E74">
        <v>8</v>
      </c>
      <c r="F74" s="4">
        <v>44301</v>
      </c>
      <c r="L74" s="1"/>
      <c r="M74" s="1"/>
      <c r="O74" s="4"/>
    </row>
    <row r="75" spans="1:15" hidden="1" x14ac:dyDescent="0.2">
      <c r="A75" t="s">
        <v>7</v>
      </c>
      <c r="B75" t="s">
        <v>8</v>
      </c>
      <c r="C75" t="s">
        <v>9</v>
      </c>
      <c r="D75" s="1">
        <v>150</v>
      </c>
      <c r="E75">
        <v>6</v>
      </c>
      <c r="F75" s="4">
        <v>44683</v>
      </c>
      <c r="L75" s="1"/>
      <c r="M75" s="1"/>
      <c r="O75" s="4"/>
    </row>
    <row r="76" spans="1:15" hidden="1" x14ac:dyDescent="0.2">
      <c r="A76" t="s">
        <v>7</v>
      </c>
      <c r="B76" t="s">
        <v>8</v>
      </c>
      <c r="C76" t="s">
        <v>9</v>
      </c>
      <c r="D76" s="1">
        <v>150</v>
      </c>
      <c r="E76">
        <v>11</v>
      </c>
      <c r="F76" s="4">
        <v>44660</v>
      </c>
      <c r="L76" s="1"/>
      <c r="M76" s="1"/>
      <c r="O76" s="4"/>
    </row>
    <row r="77" spans="1:15" hidden="1" x14ac:dyDescent="0.2">
      <c r="A77" t="s">
        <v>48</v>
      </c>
      <c r="B77" t="s">
        <v>66</v>
      </c>
      <c r="C77" t="s">
        <v>67</v>
      </c>
      <c r="D77" s="1">
        <v>195</v>
      </c>
      <c r="E77">
        <v>6</v>
      </c>
      <c r="F77" s="4">
        <v>44273</v>
      </c>
      <c r="L77" s="1"/>
      <c r="M77" s="1"/>
      <c r="O77" s="4"/>
    </row>
    <row r="78" spans="1:15" hidden="1" x14ac:dyDescent="0.2">
      <c r="A78" t="s">
        <v>48</v>
      </c>
      <c r="B78" t="s">
        <v>66</v>
      </c>
      <c r="C78" t="s">
        <v>67</v>
      </c>
      <c r="D78" s="1">
        <v>195</v>
      </c>
      <c r="E78">
        <v>7</v>
      </c>
      <c r="F78" s="4">
        <v>44490</v>
      </c>
      <c r="L78" s="1"/>
      <c r="M78" s="1"/>
      <c r="O78" s="4"/>
    </row>
    <row r="79" spans="1:15" hidden="1" x14ac:dyDescent="0.2">
      <c r="A79" t="s">
        <v>48</v>
      </c>
      <c r="B79" t="s">
        <v>66</v>
      </c>
      <c r="C79" t="s">
        <v>67</v>
      </c>
      <c r="D79" s="1">
        <v>195</v>
      </c>
      <c r="E79">
        <v>12</v>
      </c>
      <c r="F79" s="4">
        <v>44221</v>
      </c>
      <c r="L79" s="1"/>
      <c r="M79" s="1"/>
      <c r="O79" s="4"/>
    </row>
    <row r="80" spans="1:15" hidden="1" x14ac:dyDescent="0.2">
      <c r="A80" t="s">
        <v>48</v>
      </c>
      <c r="B80" t="s">
        <v>66</v>
      </c>
      <c r="C80" t="s">
        <v>67</v>
      </c>
      <c r="D80" s="1">
        <v>195</v>
      </c>
      <c r="E80">
        <v>13</v>
      </c>
      <c r="F80" s="4">
        <v>44514</v>
      </c>
      <c r="L80" s="1"/>
      <c r="M80" s="1"/>
      <c r="O80" s="4"/>
    </row>
    <row r="81" spans="1:15" hidden="1" x14ac:dyDescent="0.2">
      <c r="A81" t="s">
        <v>48</v>
      </c>
      <c r="B81" t="s">
        <v>66</v>
      </c>
      <c r="C81" t="s">
        <v>67</v>
      </c>
      <c r="D81" s="1">
        <v>195</v>
      </c>
      <c r="E81">
        <v>13</v>
      </c>
      <c r="F81" s="4">
        <v>44250</v>
      </c>
      <c r="L81" s="1"/>
      <c r="M81" s="1"/>
      <c r="O81" s="4"/>
    </row>
    <row r="82" spans="1:15" x14ac:dyDescent="0.2">
      <c r="A82" t="s">
        <v>29</v>
      </c>
      <c r="B82" t="s">
        <v>30</v>
      </c>
      <c r="C82" t="s">
        <v>31</v>
      </c>
      <c r="D82" s="62">
        <v>125</v>
      </c>
      <c r="E82">
        <v>10</v>
      </c>
      <c r="F82" s="4">
        <v>44353</v>
      </c>
      <c r="L82" s="1"/>
      <c r="M82" s="1"/>
      <c r="O82" s="4"/>
    </row>
    <row r="83" spans="1:15" hidden="1" x14ac:dyDescent="0.2">
      <c r="A83" t="s">
        <v>11</v>
      </c>
      <c r="B83" t="s">
        <v>155</v>
      </c>
      <c r="C83" t="s">
        <v>54</v>
      </c>
      <c r="D83" s="1">
        <v>160</v>
      </c>
      <c r="E83">
        <v>6</v>
      </c>
      <c r="F83" s="4">
        <v>44573</v>
      </c>
      <c r="L83" s="1"/>
      <c r="M83" s="1"/>
      <c r="O83" s="4"/>
    </row>
    <row r="84" spans="1:15" hidden="1" x14ac:dyDescent="0.2">
      <c r="A84" t="s">
        <v>11</v>
      </c>
      <c r="B84" t="s">
        <v>155</v>
      </c>
      <c r="C84" t="s">
        <v>54</v>
      </c>
      <c r="D84" s="1">
        <v>160</v>
      </c>
      <c r="E84">
        <v>11</v>
      </c>
      <c r="F84" s="4">
        <v>44629</v>
      </c>
      <c r="L84" s="1"/>
      <c r="M84" s="1"/>
      <c r="O84" s="4"/>
    </row>
    <row r="85" spans="1:15" hidden="1" x14ac:dyDescent="0.2">
      <c r="A85" t="s">
        <v>11</v>
      </c>
      <c r="B85" t="s">
        <v>155</v>
      </c>
      <c r="C85" t="s">
        <v>54</v>
      </c>
      <c r="D85" s="1">
        <v>160</v>
      </c>
      <c r="E85">
        <v>9</v>
      </c>
      <c r="F85" s="4">
        <v>44672</v>
      </c>
      <c r="L85" s="1"/>
      <c r="M85" s="1"/>
      <c r="O85" s="4"/>
    </row>
    <row r="86" spans="1:15" hidden="1" x14ac:dyDescent="0.2">
      <c r="A86" t="s">
        <v>11</v>
      </c>
      <c r="B86" t="s">
        <v>155</v>
      </c>
      <c r="C86" t="s">
        <v>54</v>
      </c>
      <c r="D86" s="1">
        <v>160</v>
      </c>
      <c r="E86">
        <v>8</v>
      </c>
      <c r="F86" s="4">
        <v>44485</v>
      </c>
      <c r="L86" s="1"/>
      <c r="M86" s="1"/>
      <c r="O86" s="4"/>
    </row>
    <row r="87" spans="1:15" hidden="1" x14ac:dyDescent="0.2">
      <c r="A87" t="s">
        <v>45</v>
      </c>
      <c r="B87" t="s">
        <v>72</v>
      </c>
      <c r="C87" t="s">
        <v>73</v>
      </c>
      <c r="D87" s="1">
        <v>150</v>
      </c>
      <c r="E87">
        <v>9</v>
      </c>
      <c r="F87" s="4">
        <v>44338</v>
      </c>
      <c r="L87" s="1"/>
      <c r="M87" s="1"/>
      <c r="O87" s="4"/>
    </row>
    <row r="88" spans="1:15" hidden="1" x14ac:dyDescent="0.2">
      <c r="A88" t="s">
        <v>45</v>
      </c>
      <c r="B88" t="s">
        <v>72</v>
      </c>
      <c r="C88" t="s">
        <v>73</v>
      </c>
      <c r="D88" s="1">
        <v>150</v>
      </c>
      <c r="E88">
        <v>5</v>
      </c>
      <c r="F88" s="4">
        <v>44555</v>
      </c>
      <c r="L88" s="1"/>
      <c r="M88" s="1"/>
      <c r="O88" s="4"/>
    </row>
    <row r="89" spans="1:15" hidden="1" x14ac:dyDescent="0.2">
      <c r="A89" t="s">
        <v>45</v>
      </c>
      <c r="B89" t="s">
        <v>72</v>
      </c>
      <c r="C89" t="s">
        <v>73</v>
      </c>
      <c r="D89" s="1">
        <v>150</v>
      </c>
      <c r="E89">
        <v>11</v>
      </c>
      <c r="F89" s="4">
        <v>44612</v>
      </c>
      <c r="L89" s="1"/>
      <c r="M89" s="1"/>
      <c r="O89" s="4"/>
    </row>
    <row r="90" spans="1:15" hidden="1" x14ac:dyDescent="0.2">
      <c r="A90" t="s">
        <v>45</v>
      </c>
      <c r="B90" t="s">
        <v>72</v>
      </c>
      <c r="C90" t="s">
        <v>73</v>
      </c>
      <c r="D90" s="1">
        <v>150</v>
      </c>
      <c r="E90">
        <v>9</v>
      </c>
      <c r="F90" s="4">
        <v>44302</v>
      </c>
      <c r="L90" s="1"/>
      <c r="M90" s="1"/>
      <c r="O90" s="4"/>
    </row>
    <row r="91" spans="1:15" x14ac:dyDescent="0.2">
      <c r="A91" t="s">
        <v>29</v>
      </c>
      <c r="B91" t="s">
        <v>30</v>
      </c>
      <c r="C91" t="s">
        <v>31</v>
      </c>
      <c r="D91" s="62">
        <v>125</v>
      </c>
      <c r="E91">
        <v>10</v>
      </c>
      <c r="F91" s="4">
        <v>44500</v>
      </c>
      <c r="L91" s="1"/>
      <c r="M91" s="1"/>
      <c r="O91" s="4"/>
    </row>
    <row r="92" spans="1:15" hidden="1" x14ac:dyDescent="0.2">
      <c r="A92" t="s">
        <v>59</v>
      </c>
      <c r="B92" t="s">
        <v>69</v>
      </c>
      <c r="C92" t="s">
        <v>70</v>
      </c>
      <c r="D92" s="1">
        <v>175</v>
      </c>
      <c r="E92">
        <v>5</v>
      </c>
      <c r="F92" s="4">
        <v>44732</v>
      </c>
      <c r="L92" s="1"/>
      <c r="M92" s="1"/>
      <c r="O92" s="4"/>
    </row>
    <row r="93" spans="1:15" hidden="1" x14ac:dyDescent="0.2">
      <c r="A93" t="s">
        <v>59</v>
      </c>
      <c r="B93" t="s">
        <v>69</v>
      </c>
      <c r="C93" t="s">
        <v>70</v>
      </c>
      <c r="D93" s="1">
        <v>175</v>
      </c>
      <c r="E93">
        <v>11</v>
      </c>
      <c r="F93" s="4">
        <v>44667</v>
      </c>
      <c r="L93" s="1"/>
      <c r="M93" s="1"/>
      <c r="O93" s="4"/>
    </row>
    <row r="94" spans="1:15" hidden="1" x14ac:dyDescent="0.2">
      <c r="A94" t="s">
        <v>59</v>
      </c>
      <c r="B94" t="s">
        <v>69</v>
      </c>
      <c r="C94" t="s">
        <v>70</v>
      </c>
      <c r="D94" s="1">
        <v>175</v>
      </c>
      <c r="E94">
        <v>7</v>
      </c>
      <c r="F94" s="4">
        <v>44299</v>
      </c>
      <c r="L94" s="1"/>
      <c r="M94" s="1"/>
      <c r="O94" s="4"/>
    </row>
    <row r="95" spans="1:15" hidden="1" x14ac:dyDescent="0.2">
      <c r="A95" t="s">
        <v>59</v>
      </c>
      <c r="B95" t="s">
        <v>69</v>
      </c>
      <c r="C95" t="s">
        <v>70</v>
      </c>
      <c r="D95" s="1">
        <v>175</v>
      </c>
      <c r="E95">
        <v>5</v>
      </c>
      <c r="F95" s="4">
        <v>44550</v>
      </c>
      <c r="L95" s="1"/>
      <c r="M95" s="1"/>
      <c r="O95" s="4"/>
    </row>
    <row r="96" spans="1:15" hidden="1" x14ac:dyDescent="0.2">
      <c r="A96" t="s">
        <v>48</v>
      </c>
      <c r="B96" t="s">
        <v>49</v>
      </c>
      <c r="C96" t="s">
        <v>50</v>
      </c>
      <c r="D96" s="1">
        <v>100</v>
      </c>
      <c r="E96">
        <v>8</v>
      </c>
      <c r="F96" s="4">
        <v>44199</v>
      </c>
      <c r="L96" s="1"/>
      <c r="M96" s="1"/>
      <c r="O96" s="4"/>
    </row>
    <row r="97" spans="1:15" hidden="1" x14ac:dyDescent="0.2">
      <c r="A97" t="s">
        <v>48</v>
      </c>
      <c r="B97" t="s">
        <v>49</v>
      </c>
      <c r="C97" t="s">
        <v>50</v>
      </c>
      <c r="D97" s="1">
        <v>100</v>
      </c>
      <c r="E97">
        <v>10</v>
      </c>
      <c r="F97" s="4">
        <v>44452</v>
      </c>
      <c r="L97" s="1"/>
      <c r="M97" s="1"/>
      <c r="O97" s="4"/>
    </row>
    <row r="98" spans="1:15" hidden="1" x14ac:dyDescent="0.2">
      <c r="A98" t="s">
        <v>48</v>
      </c>
      <c r="B98" t="s">
        <v>49</v>
      </c>
      <c r="C98" t="s">
        <v>50</v>
      </c>
      <c r="D98" s="1">
        <v>100</v>
      </c>
      <c r="E98">
        <v>12</v>
      </c>
      <c r="F98" s="4">
        <v>44285</v>
      </c>
      <c r="L98" s="1"/>
      <c r="M98" s="1"/>
      <c r="O98" s="4"/>
    </row>
    <row r="99" spans="1:15" hidden="1" x14ac:dyDescent="0.2">
      <c r="A99" t="s">
        <v>59</v>
      </c>
      <c r="B99" t="s">
        <v>60</v>
      </c>
      <c r="C99" t="s">
        <v>61</v>
      </c>
      <c r="D99" s="1">
        <v>165</v>
      </c>
      <c r="E99">
        <v>7</v>
      </c>
      <c r="F99" s="4">
        <v>44739</v>
      </c>
      <c r="L99" s="1"/>
      <c r="M99" s="1"/>
      <c r="O99" s="4"/>
    </row>
    <row r="100" spans="1:15" x14ac:dyDescent="0.2">
      <c r="A100" t="s">
        <v>29</v>
      </c>
      <c r="B100" t="s">
        <v>30</v>
      </c>
      <c r="C100" t="s">
        <v>31</v>
      </c>
      <c r="D100" s="62">
        <v>125</v>
      </c>
      <c r="E100">
        <v>9</v>
      </c>
      <c r="F100" s="4">
        <v>44539</v>
      </c>
      <c r="L100" s="1"/>
      <c r="M100" s="1"/>
      <c r="O100" s="4"/>
    </row>
    <row r="101" spans="1:15" x14ac:dyDescent="0.2">
      <c r="A101" t="s">
        <v>11</v>
      </c>
      <c r="B101" t="s">
        <v>155</v>
      </c>
      <c r="C101" t="s">
        <v>54</v>
      </c>
      <c r="D101" s="62">
        <v>160</v>
      </c>
      <c r="E101">
        <v>12</v>
      </c>
      <c r="F101" s="4">
        <v>44558</v>
      </c>
      <c r="L101" s="1"/>
      <c r="M101" s="1"/>
      <c r="O101" s="4"/>
    </row>
    <row r="102" spans="1:15" hidden="1" x14ac:dyDescent="0.2">
      <c r="D102">
        <f>SUM(amount)</f>
        <v>16818</v>
      </c>
      <c r="O102" s="3"/>
    </row>
    <row r="103" spans="1:15" x14ac:dyDescent="0.2">
      <c r="D103" s="62">
        <f>SUBTOTAL(9,amount)</f>
        <v>2190</v>
      </c>
      <c r="F103" s="4"/>
    </row>
  </sheetData>
  <sheetProtection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A9ABA2-732D-FB42-9847-0444E4F4E998}">
  <sheetPr codeName="Sheet5"/>
  <dimension ref="A1:M103"/>
  <sheetViews>
    <sheetView zoomScale="135" zoomScaleNormal="135" workbookViewId="0">
      <selection activeCell="F91" sqref="F91"/>
    </sheetView>
  </sheetViews>
  <sheetFormatPr baseColWidth="10" defaultColWidth="8.83203125" defaultRowHeight="15" x14ac:dyDescent="0.2"/>
  <cols>
    <col min="1" max="1" width="26.33203125" customWidth="1"/>
    <col min="2" max="2" width="21.33203125" customWidth="1"/>
    <col min="4" max="4" width="12.33203125" bestFit="1" customWidth="1"/>
    <col min="5" max="5" width="9.33203125" bestFit="1" customWidth="1"/>
    <col min="6" max="6" width="18.5" style="3" bestFit="1" customWidth="1"/>
  </cols>
  <sheetData>
    <row r="1" spans="1:13" x14ac:dyDescent="0.2">
      <c r="A1" s="2" t="s">
        <v>0</v>
      </c>
      <c r="B1" s="2" t="s">
        <v>1</v>
      </c>
      <c r="C1" s="2" t="s">
        <v>2</v>
      </c>
      <c r="D1" s="2" t="s">
        <v>3</v>
      </c>
      <c r="E1" s="2" t="s">
        <v>5</v>
      </c>
      <c r="F1" s="2" t="s">
        <v>154</v>
      </c>
      <c r="G1" s="2"/>
      <c r="H1" s="2"/>
      <c r="I1" s="2"/>
      <c r="J1" s="2"/>
      <c r="K1" s="2"/>
      <c r="L1" s="2"/>
      <c r="M1" s="2"/>
    </row>
    <row r="2" spans="1:13" hidden="1" x14ac:dyDescent="0.2">
      <c r="A2" t="s">
        <v>22</v>
      </c>
      <c r="B2" t="s">
        <v>23</v>
      </c>
      <c r="C2" t="s">
        <v>20</v>
      </c>
      <c r="D2" s="1">
        <v>199</v>
      </c>
      <c r="E2">
        <v>8</v>
      </c>
      <c r="F2" s="4">
        <v>44227</v>
      </c>
      <c r="J2" s="1"/>
      <c r="K2" s="1"/>
      <c r="M2" s="4"/>
    </row>
    <row r="3" spans="1:13" hidden="1" x14ac:dyDescent="0.2">
      <c r="A3" t="s">
        <v>22</v>
      </c>
      <c r="B3" t="s">
        <v>23</v>
      </c>
      <c r="C3" t="s">
        <v>20</v>
      </c>
      <c r="D3" s="1">
        <v>199</v>
      </c>
      <c r="E3">
        <v>9</v>
      </c>
      <c r="F3" s="4">
        <v>44479</v>
      </c>
      <c r="G3" s="3"/>
      <c r="J3" s="1"/>
      <c r="K3" s="1"/>
      <c r="M3" s="4"/>
    </row>
    <row r="4" spans="1:13" hidden="1" x14ac:dyDescent="0.2">
      <c r="A4" t="s">
        <v>22</v>
      </c>
      <c r="B4" t="s">
        <v>23</v>
      </c>
      <c r="C4" t="s">
        <v>20</v>
      </c>
      <c r="D4" s="1">
        <v>199</v>
      </c>
      <c r="E4">
        <v>13</v>
      </c>
      <c r="F4" s="4">
        <v>44208</v>
      </c>
      <c r="J4" s="1"/>
      <c r="K4" s="1"/>
      <c r="M4" s="4"/>
    </row>
    <row r="5" spans="1:13" hidden="1" x14ac:dyDescent="0.2">
      <c r="A5" t="s">
        <v>22</v>
      </c>
      <c r="B5" t="s">
        <v>23</v>
      </c>
      <c r="C5" t="s">
        <v>20</v>
      </c>
      <c r="D5" s="1">
        <v>199</v>
      </c>
      <c r="E5">
        <v>11</v>
      </c>
      <c r="F5" s="4">
        <v>44215</v>
      </c>
      <c r="J5" s="1"/>
      <c r="K5" s="1"/>
      <c r="M5" s="4"/>
    </row>
    <row r="6" spans="1:13" hidden="1" x14ac:dyDescent="0.2">
      <c r="A6" t="s">
        <v>22</v>
      </c>
      <c r="B6" t="s">
        <v>23</v>
      </c>
      <c r="C6" t="s">
        <v>20</v>
      </c>
      <c r="D6" s="1">
        <v>199</v>
      </c>
      <c r="E6">
        <v>5</v>
      </c>
      <c r="F6" s="4">
        <v>44577</v>
      </c>
      <c r="J6" s="1"/>
      <c r="K6" s="1"/>
      <c r="M6" s="4"/>
    </row>
    <row r="7" spans="1:13" hidden="1" x14ac:dyDescent="0.2">
      <c r="A7" t="s">
        <v>22</v>
      </c>
      <c r="B7" t="s">
        <v>23</v>
      </c>
      <c r="C7" t="s">
        <v>20</v>
      </c>
      <c r="D7" s="1">
        <v>199</v>
      </c>
      <c r="E7">
        <v>11</v>
      </c>
      <c r="F7" s="4">
        <v>44562</v>
      </c>
      <c r="J7" s="1"/>
      <c r="K7" s="1"/>
      <c r="M7" s="4"/>
    </row>
    <row r="8" spans="1:13" hidden="1" x14ac:dyDescent="0.2">
      <c r="A8" t="s">
        <v>22</v>
      </c>
      <c r="B8" t="s">
        <v>23</v>
      </c>
      <c r="C8" t="s">
        <v>20</v>
      </c>
      <c r="D8" s="1">
        <v>199</v>
      </c>
      <c r="E8">
        <v>10</v>
      </c>
      <c r="F8" s="4">
        <v>44591</v>
      </c>
      <c r="J8" s="1"/>
      <c r="K8" s="1"/>
      <c r="M8" s="4"/>
    </row>
    <row r="9" spans="1:13" hidden="1" x14ac:dyDescent="0.2">
      <c r="A9" t="s">
        <v>15</v>
      </c>
      <c r="B9" t="s">
        <v>16</v>
      </c>
      <c r="C9" t="s">
        <v>9</v>
      </c>
      <c r="D9" s="1">
        <v>200</v>
      </c>
      <c r="E9">
        <v>8</v>
      </c>
      <c r="F9" s="4">
        <v>44455</v>
      </c>
      <c r="J9" s="1"/>
      <c r="K9" s="1"/>
      <c r="M9" s="4"/>
    </row>
    <row r="10" spans="1:13" x14ac:dyDescent="0.2">
      <c r="A10" t="s">
        <v>59</v>
      </c>
      <c r="B10" t="s">
        <v>69</v>
      </c>
      <c r="C10" t="s">
        <v>70</v>
      </c>
      <c r="D10" s="62">
        <v>175</v>
      </c>
      <c r="E10">
        <v>12</v>
      </c>
      <c r="F10" s="4">
        <v>44339</v>
      </c>
      <c r="J10" s="1"/>
      <c r="K10" s="1"/>
      <c r="M10" s="4"/>
    </row>
    <row r="11" spans="1:13" x14ac:dyDescent="0.2">
      <c r="A11" t="s">
        <v>59</v>
      </c>
      <c r="B11" t="s">
        <v>60</v>
      </c>
      <c r="C11" t="s">
        <v>61</v>
      </c>
      <c r="D11" s="62">
        <v>165</v>
      </c>
      <c r="E11">
        <v>11</v>
      </c>
      <c r="F11" s="4">
        <v>44240</v>
      </c>
      <c r="J11" s="1"/>
      <c r="K11" s="1"/>
      <c r="M11" s="4"/>
    </row>
    <row r="12" spans="1:13" x14ac:dyDescent="0.2">
      <c r="A12" t="s">
        <v>59</v>
      </c>
      <c r="B12" t="s">
        <v>60</v>
      </c>
      <c r="C12" t="s">
        <v>61</v>
      </c>
      <c r="D12" s="62">
        <v>165</v>
      </c>
      <c r="E12">
        <v>9</v>
      </c>
      <c r="F12" s="4">
        <v>44299</v>
      </c>
      <c r="J12" s="1"/>
      <c r="K12" s="1"/>
      <c r="M12" s="4"/>
    </row>
    <row r="13" spans="1:13" hidden="1" x14ac:dyDescent="0.2">
      <c r="A13" t="s">
        <v>15</v>
      </c>
      <c r="B13" t="s">
        <v>16</v>
      </c>
      <c r="C13" t="s">
        <v>9</v>
      </c>
      <c r="D13" s="1">
        <v>200</v>
      </c>
      <c r="E13">
        <v>13</v>
      </c>
      <c r="F13" s="4">
        <v>44707</v>
      </c>
      <c r="J13" s="1"/>
      <c r="K13" s="1"/>
      <c r="M13" s="4"/>
    </row>
    <row r="14" spans="1:13" x14ac:dyDescent="0.2">
      <c r="A14" t="s">
        <v>15</v>
      </c>
      <c r="B14" t="s">
        <v>16</v>
      </c>
      <c r="C14" t="s">
        <v>9</v>
      </c>
      <c r="D14" s="62">
        <v>200</v>
      </c>
      <c r="E14">
        <v>10</v>
      </c>
      <c r="F14" s="4">
        <v>44290</v>
      </c>
      <c r="J14" s="1"/>
      <c r="K14" s="1"/>
      <c r="M14" s="4"/>
    </row>
    <row r="15" spans="1:13" hidden="1" x14ac:dyDescent="0.2">
      <c r="A15" t="s">
        <v>37</v>
      </c>
      <c r="B15" t="s">
        <v>38</v>
      </c>
      <c r="C15" t="s">
        <v>39</v>
      </c>
      <c r="D15" s="1">
        <v>250</v>
      </c>
      <c r="E15">
        <v>7</v>
      </c>
      <c r="F15" s="4">
        <v>44720</v>
      </c>
      <c r="J15" s="1"/>
      <c r="K15" s="1"/>
      <c r="M15" s="4"/>
    </row>
    <row r="16" spans="1:13" hidden="1" x14ac:dyDescent="0.2">
      <c r="A16" t="s">
        <v>37</v>
      </c>
      <c r="B16" t="s">
        <v>38</v>
      </c>
      <c r="C16" t="s">
        <v>39</v>
      </c>
      <c r="D16" s="1">
        <v>250</v>
      </c>
      <c r="E16">
        <v>13</v>
      </c>
      <c r="F16" s="4">
        <v>44724</v>
      </c>
      <c r="J16" s="1"/>
      <c r="K16" s="1"/>
      <c r="M16" s="4"/>
    </row>
    <row r="17" spans="1:13" hidden="1" x14ac:dyDescent="0.2">
      <c r="A17" t="s">
        <v>37</v>
      </c>
      <c r="B17" t="s">
        <v>38</v>
      </c>
      <c r="C17" t="s">
        <v>39</v>
      </c>
      <c r="D17" s="1">
        <v>250</v>
      </c>
      <c r="E17">
        <v>10</v>
      </c>
      <c r="F17" s="4">
        <v>44604</v>
      </c>
      <c r="J17" s="1"/>
      <c r="K17" s="1"/>
      <c r="M17" s="4"/>
    </row>
    <row r="18" spans="1:13" hidden="1" x14ac:dyDescent="0.2">
      <c r="A18" t="s">
        <v>37</v>
      </c>
      <c r="B18" t="s">
        <v>38</v>
      </c>
      <c r="C18" t="s">
        <v>39</v>
      </c>
      <c r="D18" s="1">
        <v>250</v>
      </c>
      <c r="E18">
        <v>7</v>
      </c>
      <c r="F18" s="4">
        <v>44378</v>
      </c>
      <c r="J18" s="1"/>
      <c r="K18" s="1"/>
      <c r="M18" s="4"/>
    </row>
    <row r="19" spans="1:13" hidden="1" x14ac:dyDescent="0.2">
      <c r="A19" t="s">
        <v>37</v>
      </c>
      <c r="B19" t="s">
        <v>38</v>
      </c>
      <c r="C19" t="s">
        <v>39</v>
      </c>
      <c r="D19" s="1">
        <v>250</v>
      </c>
      <c r="E19">
        <v>7</v>
      </c>
      <c r="F19" s="4">
        <v>44297</v>
      </c>
      <c r="J19" s="1"/>
      <c r="K19" s="1"/>
      <c r="M19" s="4"/>
    </row>
    <row r="20" spans="1:13" hidden="1" x14ac:dyDescent="0.2">
      <c r="A20" t="s">
        <v>15</v>
      </c>
      <c r="B20" t="s">
        <v>64</v>
      </c>
      <c r="C20" t="s">
        <v>39</v>
      </c>
      <c r="D20" s="1">
        <v>175</v>
      </c>
      <c r="E20">
        <v>8</v>
      </c>
      <c r="F20" s="4">
        <v>44692</v>
      </c>
      <c r="J20" s="1"/>
      <c r="K20" s="1"/>
      <c r="M20" s="4"/>
    </row>
    <row r="21" spans="1:13" hidden="1" x14ac:dyDescent="0.2">
      <c r="A21" t="s">
        <v>15</v>
      </c>
      <c r="B21" t="s">
        <v>64</v>
      </c>
      <c r="C21" t="s">
        <v>39</v>
      </c>
      <c r="D21" s="1">
        <v>175</v>
      </c>
      <c r="E21">
        <v>8</v>
      </c>
      <c r="F21" s="4">
        <v>44350</v>
      </c>
      <c r="J21" s="1"/>
      <c r="K21" s="1"/>
      <c r="M21" s="4"/>
    </row>
    <row r="22" spans="1:13" hidden="1" x14ac:dyDescent="0.2">
      <c r="A22" t="s">
        <v>15</v>
      </c>
      <c r="B22" t="s">
        <v>64</v>
      </c>
      <c r="C22" t="s">
        <v>39</v>
      </c>
      <c r="D22" s="1">
        <v>175</v>
      </c>
      <c r="E22">
        <v>7</v>
      </c>
      <c r="F22" s="4">
        <v>44201</v>
      </c>
      <c r="J22" s="1"/>
      <c r="K22" s="1"/>
      <c r="M22" s="4"/>
    </row>
    <row r="23" spans="1:13" x14ac:dyDescent="0.2">
      <c r="A23" t="s">
        <v>15</v>
      </c>
      <c r="B23" t="s">
        <v>16</v>
      </c>
      <c r="C23" t="s">
        <v>9</v>
      </c>
      <c r="D23" s="62">
        <v>200</v>
      </c>
      <c r="E23">
        <v>13</v>
      </c>
      <c r="F23" s="4">
        <v>44486</v>
      </c>
      <c r="J23" s="1"/>
      <c r="K23" s="1"/>
      <c r="M23" s="4"/>
    </row>
    <row r="24" spans="1:13" x14ac:dyDescent="0.2">
      <c r="A24" t="s">
        <v>15</v>
      </c>
      <c r="B24" t="s">
        <v>16</v>
      </c>
      <c r="C24" t="s">
        <v>9</v>
      </c>
      <c r="D24" s="62">
        <v>200</v>
      </c>
      <c r="E24">
        <v>9</v>
      </c>
      <c r="F24" s="4">
        <v>44450</v>
      </c>
      <c r="J24" s="1"/>
      <c r="K24" s="1"/>
      <c r="M24" s="4"/>
    </row>
    <row r="25" spans="1:13" hidden="1" x14ac:dyDescent="0.2">
      <c r="A25" t="s">
        <v>15</v>
      </c>
      <c r="B25" t="s">
        <v>64</v>
      </c>
      <c r="C25" t="s">
        <v>39</v>
      </c>
      <c r="D25" s="1">
        <v>175</v>
      </c>
      <c r="E25">
        <v>12</v>
      </c>
      <c r="F25" s="4">
        <v>44657</v>
      </c>
      <c r="J25" s="1"/>
      <c r="K25" s="1"/>
      <c r="M25" s="4"/>
    </row>
    <row r="26" spans="1:13" hidden="1" x14ac:dyDescent="0.2">
      <c r="A26" t="s">
        <v>15</v>
      </c>
      <c r="B26" t="s">
        <v>64</v>
      </c>
      <c r="C26" t="s">
        <v>39</v>
      </c>
      <c r="D26" s="1">
        <v>175</v>
      </c>
      <c r="E26">
        <v>5</v>
      </c>
      <c r="F26" s="4">
        <v>44683</v>
      </c>
      <c r="J26" s="1"/>
      <c r="K26" s="1"/>
      <c r="M26" s="4"/>
    </row>
    <row r="27" spans="1:13" x14ac:dyDescent="0.2">
      <c r="A27" t="s">
        <v>15</v>
      </c>
      <c r="B27" t="s">
        <v>16</v>
      </c>
      <c r="C27" t="s">
        <v>9</v>
      </c>
      <c r="D27" s="62">
        <v>200</v>
      </c>
      <c r="E27">
        <v>9</v>
      </c>
      <c r="F27" s="4">
        <v>44299</v>
      </c>
      <c r="J27" s="1"/>
      <c r="K27" s="1"/>
      <c r="M27" s="4"/>
    </row>
    <row r="28" spans="1:13" x14ac:dyDescent="0.2">
      <c r="A28" t="s">
        <v>15</v>
      </c>
      <c r="B28" t="s">
        <v>64</v>
      </c>
      <c r="C28" t="s">
        <v>39</v>
      </c>
      <c r="D28" s="62">
        <v>175</v>
      </c>
      <c r="E28">
        <v>12</v>
      </c>
      <c r="F28" s="4">
        <v>44288</v>
      </c>
      <c r="J28" s="1"/>
      <c r="K28" s="1"/>
      <c r="M28" s="4"/>
    </row>
    <row r="29" spans="1:13" hidden="1" x14ac:dyDescent="0.2">
      <c r="A29" t="s">
        <v>29</v>
      </c>
      <c r="B29" t="s">
        <v>30</v>
      </c>
      <c r="C29" t="s">
        <v>31</v>
      </c>
      <c r="D29" s="1">
        <v>125</v>
      </c>
      <c r="E29">
        <v>5</v>
      </c>
      <c r="F29" s="4">
        <v>44218</v>
      </c>
      <c r="J29" s="1"/>
      <c r="K29" s="1"/>
      <c r="M29" s="4"/>
    </row>
    <row r="30" spans="1:13" x14ac:dyDescent="0.2">
      <c r="A30" t="s">
        <v>15</v>
      </c>
      <c r="B30" t="s">
        <v>64</v>
      </c>
      <c r="C30" t="s">
        <v>39</v>
      </c>
      <c r="D30" s="62">
        <v>175</v>
      </c>
      <c r="E30">
        <v>12</v>
      </c>
      <c r="F30" s="4">
        <v>44295</v>
      </c>
      <c r="J30" s="1"/>
      <c r="K30" s="1"/>
      <c r="M30" s="4"/>
    </row>
    <row r="31" spans="1:13" hidden="1" x14ac:dyDescent="0.2">
      <c r="A31" t="s">
        <v>29</v>
      </c>
      <c r="B31" t="s">
        <v>30</v>
      </c>
      <c r="C31" t="s">
        <v>31</v>
      </c>
      <c r="D31" s="1">
        <v>125</v>
      </c>
      <c r="E31">
        <v>8</v>
      </c>
      <c r="F31" s="4">
        <v>44267</v>
      </c>
      <c r="J31" s="1"/>
      <c r="K31" s="1"/>
      <c r="M31" s="4"/>
    </row>
    <row r="32" spans="1:13" hidden="1" x14ac:dyDescent="0.2">
      <c r="A32" t="s">
        <v>29</v>
      </c>
      <c r="B32" t="s">
        <v>30</v>
      </c>
      <c r="C32" t="s">
        <v>31</v>
      </c>
      <c r="D32" s="1">
        <v>125</v>
      </c>
      <c r="E32">
        <v>5</v>
      </c>
      <c r="F32" s="4">
        <v>44472</v>
      </c>
      <c r="J32" s="1"/>
      <c r="K32" s="1"/>
      <c r="M32" s="4"/>
    </row>
    <row r="33" spans="1:13" hidden="1" x14ac:dyDescent="0.2">
      <c r="A33" t="s">
        <v>29</v>
      </c>
      <c r="B33" t="s">
        <v>30</v>
      </c>
      <c r="C33" t="s">
        <v>31</v>
      </c>
      <c r="D33" s="1">
        <v>125</v>
      </c>
      <c r="E33">
        <v>9</v>
      </c>
      <c r="F33" s="4">
        <v>44687</v>
      </c>
      <c r="J33" s="1"/>
      <c r="K33" s="1"/>
      <c r="M33" s="4"/>
    </row>
    <row r="34" spans="1:13" hidden="1" x14ac:dyDescent="0.2">
      <c r="A34" t="s">
        <v>25</v>
      </c>
      <c r="B34" t="s">
        <v>26</v>
      </c>
      <c r="C34" t="s">
        <v>27</v>
      </c>
      <c r="D34" s="1">
        <v>150</v>
      </c>
      <c r="E34">
        <v>7</v>
      </c>
      <c r="F34" s="4">
        <v>44357</v>
      </c>
      <c r="J34" s="1"/>
      <c r="K34" s="1"/>
      <c r="M34" s="4"/>
    </row>
    <row r="35" spans="1:13" hidden="1" x14ac:dyDescent="0.2">
      <c r="A35" t="s">
        <v>25</v>
      </c>
      <c r="B35" t="s">
        <v>26</v>
      </c>
      <c r="C35" t="s">
        <v>27</v>
      </c>
      <c r="D35" s="1">
        <v>150</v>
      </c>
      <c r="E35">
        <v>9</v>
      </c>
      <c r="F35" s="4">
        <v>44621</v>
      </c>
      <c r="J35" s="1"/>
      <c r="K35" s="1"/>
      <c r="M35" s="4"/>
    </row>
    <row r="36" spans="1:13" hidden="1" x14ac:dyDescent="0.2">
      <c r="A36" t="s">
        <v>25</v>
      </c>
      <c r="B36" t="s">
        <v>26</v>
      </c>
      <c r="C36" t="s">
        <v>27</v>
      </c>
      <c r="D36" s="1">
        <v>150</v>
      </c>
      <c r="E36">
        <v>8</v>
      </c>
      <c r="F36" s="4">
        <v>44521</v>
      </c>
      <c r="J36" s="1"/>
      <c r="K36" s="1"/>
      <c r="M36" s="4"/>
    </row>
    <row r="37" spans="1:13" hidden="1" x14ac:dyDescent="0.2">
      <c r="A37" t="s">
        <v>25</v>
      </c>
      <c r="B37" t="s">
        <v>26</v>
      </c>
      <c r="C37" t="s">
        <v>27</v>
      </c>
      <c r="D37" s="1">
        <v>150</v>
      </c>
      <c r="E37">
        <v>10</v>
      </c>
      <c r="F37" s="4">
        <v>44386</v>
      </c>
      <c r="J37" s="1"/>
      <c r="K37" s="1"/>
      <c r="M37" s="4"/>
    </row>
    <row r="38" spans="1:13" hidden="1" x14ac:dyDescent="0.2">
      <c r="A38" t="s">
        <v>25</v>
      </c>
      <c r="B38" t="s">
        <v>26</v>
      </c>
      <c r="C38" t="s">
        <v>27</v>
      </c>
      <c r="D38" s="1">
        <v>150</v>
      </c>
      <c r="E38">
        <v>6</v>
      </c>
      <c r="F38" s="4">
        <v>44329</v>
      </c>
      <c r="J38" s="1"/>
      <c r="K38" s="1"/>
      <c r="M38" s="4"/>
    </row>
    <row r="39" spans="1:13" hidden="1" x14ac:dyDescent="0.2">
      <c r="A39" t="s">
        <v>33</v>
      </c>
      <c r="B39" t="s">
        <v>34</v>
      </c>
      <c r="C39" t="s">
        <v>35</v>
      </c>
      <c r="D39" s="1">
        <v>150</v>
      </c>
      <c r="E39">
        <v>5</v>
      </c>
      <c r="F39" s="4">
        <v>44661</v>
      </c>
      <c r="J39" s="1"/>
      <c r="K39" s="1"/>
      <c r="M39" s="4"/>
    </row>
    <row r="40" spans="1:13" hidden="1" x14ac:dyDescent="0.2">
      <c r="A40" t="s">
        <v>33</v>
      </c>
      <c r="B40" t="s">
        <v>34</v>
      </c>
      <c r="C40" t="s">
        <v>35</v>
      </c>
      <c r="D40" s="1">
        <v>150</v>
      </c>
      <c r="E40">
        <v>5</v>
      </c>
      <c r="F40" s="4">
        <v>44349</v>
      </c>
      <c r="J40" s="1"/>
      <c r="K40" s="1"/>
      <c r="M40" s="4"/>
    </row>
    <row r="41" spans="1:13" hidden="1" x14ac:dyDescent="0.2">
      <c r="A41" t="s">
        <v>33</v>
      </c>
      <c r="B41" t="s">
        <v>34</v>
      </c>
      <c r="C41" t="s">
        <v>35</v>
      </c>
      <c r="D41" s="1">
        <v>150</v>
      </c>
      <c r="E41">
        <v>8</v>
      </c>
      <c r="F41" s="4">
        <v>44683</v>
      </c>
      <c r="J41" s="1"/>
      <c r="K41" s="1"/>
      <c r="M41" s="4"/>
    </row>
    <row r="42" spans="1:13" hidden="1" x14ac:dyDescent="0.2">
      <c r="A42" t="s">
        <v>33</v>
      </c>
      <c r="B42" t="s">
        <v>34</v>
      </c>
      <c r="C42" t="s">
        <v>35</v>
      </c>
      <c r="D42" s="1">
        <v>150</v>
      </c>
      <c r="E42">
        <v>7</v>
      </c>
      <c r="F42" s="4">
        <v>44562</v>
      </c>
      <c r="J42" s="1"/>
      <c r="K42" s="1"/>
      <c r="M42" s="4"/>
    </row>
    <row r="43" spans="1:13" hidden="1" x14ac:dyDescent="0.2">
      <c r="A43" t="s">
        <v>33</v>
      </c>
      <c r="B43" t="s">
        <v>34</v>
      </c>
      <c r="C43" t="s">
        <v>35</v>
      </c>
      <c r="D43" s="1">
        <v>150</v>
      </c>
      <c r="E43">
        <v>5</v>
      </c>
      <c r="F43" s="4">
        <v>44218</v>
      </c>
      <c r="J43" s="1"/>
      <c r="K43" s="1"/>
      <c r="M43" s="4"/>
    </row>
    <row r="44" spans="1:13" hidden="1" x14ac:dyDescent="0.2">
      <c r="A44" t="s">
        <v>33</v>
      </c>
      <c r="B44" t="s">
        <v>34</v>
      </c>
      <c r="C44" t="s">
        <v>35</v>
      </c>
      <c r="D44" s="1">
        <v>150</v>
      </c>
      <c r="E44">
        <v>8</v>
      </c>
      <c r="F44" s="4">
        <v>44553</v>
      </c>
      <c r="J44" s="1"/>
      <c r="K44" s="1"/>
      <c r="M44" s="4"/>
    </row>
    <row r="45" spans="1:13" hidden="1" x14ac:dyDescent="0.2">
      <c r="A45" t="s">
        <v>33</v>
      </c>
      <c r="B45" t="s">
        <v>34</v>
      </c>
      <c r="C45" t="s">
        <v>35</v>
      </c>
      <c r="D45" s="1">
        <v>150</v>
      </c>
      <c r="E45">
        <v>11</v>
      </c>
      <c r="F45" s="4">
        <v>44642</v>
      </c>
      <c r="J45" s="1"/>
      <c r="K45" s="1"/>
      <c r="M45" s="4"/>
    </row>
    <row r="46" spans="1:13" hidden="1" x14ac:dyDescent="0.2">
      <c r="A46" t="s">
        <v>33</v>
      </c>
      <c r="B46" t="s">
        <v>34</v>
      </c>
      <c r="C46" t="s">
        <v>35</v>
      </c>
      <c r="D46" s="1">
        <v>150</v>
      </c>
      <c r="E46">
        <v>12</v>
      </c>
      <c r="F46" s="4">
        <v>44289</v>
      </c>
      <c r="J46" s="1"/>
      <c r="K46" s="1"/>
      <c r="M46" s="4"/>
    </row>
    <row r="47" spans="1:13" hidden="1" x14ac:dyDescent="0.2">
      <c r="A47" t="s">
        <v>18</v>
      </c>
      <c r="B47" t="s">
        <v>19</v>
      </c>
      <c r="C47" t="s">
        <v>20</v>
      </c>
      <c r="D47" s="1">
        <v>250</v>
      </c>
      <c r="E47">
        <v>7</v>
      </c>
      <c r="F47" s="4">
        <v>44291</v>
      </c>
      <c r="J47" s="1"/>
      <c r="K47" s="1"/>
      <c r="M47" s="4"/>
    </row>
    <row r="48" spans="1:13" hidden="1" x14ac:dyDescent="0.2">
      <c r="A48" t="s">
        <v>18</v>
      </c>
      <c r="B48" t="s">
        <v>19</v>
      </c>
      <c r="C48" t="s">
        <v>20</v>
      </c>
      <c r="D48" s="1">
        <v>250</v>
      </c>
      <c r="E48">
        <v>8</v>
      </c>
      <c r="F48" s="4">
        <v>44622</v>
      </c>
      <c r="J48" s="1"/>
      <c r="K48" s="1"/>
      <c r="M48" s="4"/>
    </row>
    <row r="49" spans="1:13" hidden="1" x14ac:dyDescent="0.2">
      <c r="A49" t="s">
        <v>18</v>
      </c>
      <c r="B49" t="s">
        <v>19</v>
      </c>
      <c r="C49" t="s">
        <v>20</v>
      </c>
      <c r="D49" s="1">
        <v>250</v>
      </c>
      <c r="E49">
        <v>5</v>
      </c>
      <c r="F49" s="4">
        <v>44371</v>
      </c>
      <c r="J49" s="1"/>
      <c r="K49" s="1"/>
      <c r="M49" s="4"/>
    </row>
    <row r="50" spans="1:13" hidden="1" x14ac:dyDescent="0.2">
      <c r="A50" t="s">
        <v>18</v>
      </c>
      <c r="B50" t="s">
        <v>19</v>
      </c>
      <c r="C50" t="s">
        <v>20</v>
      </c>
      <c r="D50" s="1">
        <v>250</v>
      </c>
      <c r="E50">
        <v>11</v>
      </c>
      <c r="F50" s="4">
        <v>44612</v>
      </c>
      <c r="J50" s="1"/>
      <c r="K50" s="1"/>
      <c r="M50" s="4"/>
    </row>
    <row r="51" spans="1:13" hidden="1" x14ac:dyDescent="0.2">
      <c r="A51" t="s">
        <v>18</v>
      </c>
      <c r="B51" t="s">
        <v>19</v>
      </c>
      <c r="C51" t="s">
        <v>20</v>
      </c>
      <c r="D51" s="1">
        <v>250</v>
      </c>
      <c r="E51">
        <v>11</v>
      </c>
      <c r="F51" s="4">
        <v>44678</v>
      </c>
      <c r="J51" s="1"/>
      <c r="K51" s="1"/>
      <c r="M51" s="4"/>
    </row>
    <row r="52" spans="1:13" hidden="1" x14ac:dyDescent="0.2">
      <c r="A52" t="s">
        <v>18</v>
      </c>
      <c r="B52" t="s">
        <v>19</v>
      </c>
      <c r="C52" t="s">
        <v>20</v>
      </c>
      <c r="D52" s="1">
        <v>250</v>
      </c>
      <c r="E52">
        <v>11</v>
      </c>
      <c r="F52" s="4">
        <v>44722</v>
      </c>
      <c r="J52" s="1"/>
      <c r="K52" s="1"/>
      <c r="M52" s="4"/>
    </row>
    <row r="53" spans="1:13" hidden="1" x14ac:dyDescent="0.2">
      <c r="A53" t="s">
        <v>11</v>
      </c>
      <c r="B53" t="s">
        <v>12</v>
      </c>
      <c r="C53" t="s">
        <v>13</v>
      </c>
      <c r="D53" s="1">
        <v>110</v>
      </c>
      <c r="E53">
        <v>12</v>
      </c>
      <c r="F53" s="4">
        <v>44564</v>
      </c>
      <c r="J53" s="1"/>
      <c r="K53" s="1"/>
      <c r="M53" s="4"/>
    </row>
    <row r="54" spans="1:13" hidden="1" x14ac:dyDescent="0.2">
      <c r="A54" t="s">
        <v>11</v>
      </c>
      <c r="B54" t="s">
        <v>12</v>
      </c>
      <c r="C54" t="s">
        <v>13</v>
      </c>
      <c r="D54" s="1">
        <v>110</v>
      </c>
      <c r="E54">
        <v>10</v>
      </c>
      <c r="F54" s="4">
        <v>44728</v>
      </c>
      <c r="J54" s="1"/>
      <c r="K54" s="1"/>
      <c r="M54" s="4"/>
    </row>
    <row r="55" spans="1:13" hidden="1" x14ac:dyDescent="0.2">
      <c r="A55" t="s">
        <v>11</v>
      </c>
      <c r="B55" t="s">
        <v>12</v>
      </c>
      <c r="C55" t="s">
        <v>13</v>
      </c>
      <c r="D55" s="1">
        <v>110</v>
      </c>
      <c r="E55">
        <v>7</v>
      </c>
      <c r="F55" s="4">
        <v>44276</v>
      </c>
      <c r="J55" s="1"/>
      <c r="K55" s="1"/>
      <c r="M55" s="4"/>
    </row>
    <row r="56" spans="1:13" hidden="1" x14ac:dyDescent="0.2">
      <c r="A56" t="s">
        <v>41</v>
      </c>
      <c r="B56" t="s">
        <v>42</v>
      </c>
      <c r="C56" t="s">
        <v>43</v>
      </c>
      <c r="D56" s="1">
        <v>190</v>
      </c>
      <c r="E56">
        <v>10</v>
      </c>
      <c r="F56" s="4">
        <v>44396</v>
      </c>
      <c r="J56" s="1"/>
      <c r="K56" s="1"/>
      <c r="M56" s="4"/>
    </row>
    <row r="57" spans="1:13" hidden="1" x14ac:dyDescent="0.2">
      <c r="A57" t="s">
        <v>41</v>
      </c>
      <c r="B57" t="s">
        <v>42</v>
      </c>
      <c r="C57" t="s">
        <v>43</v>
      </c>
      <c r="D57" s="1">
        <v>190</v>
      </c>
      <c r="E57">
        <v>5</v>
      </c>
      <c r="F57" s="4">
        <v>44496</v>
      </c>
      <c r="J57" s="1"/>
      <c r="K57" s="1"/>
      <c r="M57" s="4"/>
    </row>
    <row r="58" spans="1:13" hidden="1" x14ac:dyDescent="0.2">
      <c r="A58" t="s">
        <v>41</v>
      </c>
      <c r="B58" t="s">
        <v>42</v>
      </c>
      <c r="C58" t="s">
        <v>43</v>
      </c>
      <c r="D58" s="1">
        <v>190</v>
      </c>
      <c r="E58">
        <v>10</v>
      </c>
      <c r="F58" s="4">
        <v>44474</v>
      </c>
      <c r="J58" s="1"/>
      <c r="K58" s="1"/>
      <c r="M58" s="4"/>
    </row>
    <row r="59" spans="1:13" hidden="1" x14ac:dyDescent="0.2">
      <c r="A59" t="s">
        <v>41</v>
      </c>
      <c r="B59" t="s">
        <v>42</v>
      </c>
      <c r="C59" t="s">
        <v>43</v>
      </c>
      <c r="D59" s="1">
        <v>190</v>
      </c>
      <c r="E59">
        <v>7</v>
      </c>
      <c r="F59" s="4">
        <v>44612</v>
      </c>
      <c r="J59" s="1"/>
      <c r="K59" s="1"/>
      <c r="M59" s="4"/>
    </row>
    <row r="60" spans="1:13" hidden="1" x14ac:dyDescent="0.2">
      <c r="A60" t="s">
        <v>41</v>
      </c>
      <c r="B60" t="s">
        <v>42</v>
      </c>
      <c r="C60" t="s">
        <v>43</v>
      </c>
      <c r="D60" s="1">
        <v>190</v>
      </c>
      <c r="E60">
        <v>8</v>
      </c>
      <c r="F60" s="4">
        <v>44559</v>
      </c>
      <c r="J60" s="1"/>
      <c r="K60" s="1"/>
      <c r="M60" s="4"/>
    </row>
    <row r="61" spans="1:13" hidden="1" x14ac:dyDescent="0.2">
      <c r="A61" t="s">
        <v>45</v>
      </c>
      <c r="B61" t="s">
        <v>46</v>
      </c>
      <c r="C61" t="s">
        <v>43</v>
      </c>
      <c r="D61" s="1">
        <v>150</v>
      </c>
      <c r="E61">
        <v>5</v>
      </c>
      <c r="F61" s="4">
        <v>44581</v>
      </c>
      <c r="J61" s="1"/>
      <c r="K61" s="1"/>
      <c r="M61" s="4"/>
    </row>
    <row r="62" spans="1:13" hidden="1" x14ac:dyDescent="0.2">
      <c r="A62" t="s">
        <v>45</v>
      </c>
      <c r="B62" t="s">
        <v>46</v>
      </c>
      <c r="C62" t="s">
        <v>43</v>
      </c>
      <c r="D62" s="1">
        <v>150</v>
      </c>
      <c r="E62">
        <v>11</v>
      </c>
      <c r="F62" s="4">
        <v>44580</v>
      </c>
      <c r="J62" s="1"/>
      <c r="K62" s="1"/>
      <c r="M62" s="4"/>
    </row>
    <row r="63" spans="1:13" hidden="1" x14ac:dyDescent="0.2">
      <c r="A63" t="s">
        <v>45</v>
      </c>
      <c r="B63" t="s">
        <v>46</v>
      </c>
      <c r="C63" t="s">
        <v>43</v>
      </c>
      <c r="D63" s="1">
        <v>150</v>
      </c>
      <c r="E63">
        <v>7</v>
      </c>
      <c r="F63" s="4">
        <v>44655</v>
      </c>
      <c r="J63" s="1"/>
      <c r="K63" s="1"/>
      <c r="M63" s="4"/>
    </row>
    <row r="64" spans="1:13" hidden="1" x14ac:dyDescent="0.2">
      <c r="A64" t="s">
        <v>45</v>
      </c>
      <c r="B64" t="s">
        <v>46</v>
      </c>
      <c r="C64" t="s">
        <v>43</v>
      </c>
      <c r="D64" s="1">
        <v>150</v>
      </c>
      <c r="E64">
        <v>10</v>
      </c>
      <c r="F64" s="4">
        <v>44560</v>
      </c>
      <c r="J64" s="1"/>
      <c r="K64" s="1"/>
      <c r="M64" s="4"/>
    </row>
    <row r="65" spans="1:13" hidden="1" x14ac:dyDescent="0.2">
      <c r="A65" t="s">
        <v>45</v>
      </c>
      <c r="B65" t="s">
        <v>46</v>
      </c>
      <c r="C65" t="s">
        <v>43</v>
      </c>
      <c r="D65" s="1">
        <v>150</v>
      </c>
      <c r="E65">
        <v>9</v>
      </c>
      <c r="F65" s="4">
        <v>44340</v>
      </c>
      <c r="J65" s="1"/>
      <c r="K65" s="1"/>
      <c r="M65" s="4"/>
    </row>
    <row r="66" spans="1:13" hidden="1" x14ac:dyDescent="0.2">
      <c r="A66" t="s">
        <v>45</v>
      </c>
      <c r="B66" t="s">
        <v>46</v>
      </c>
      <c r="C66" t="s">
        <v>43</v>
      </c>
      <c r="D66" s="1">
        <v>150</v>
      </c>
      <c r="E66">
        <v>8</v>
      </c>
      <c r="F66" s="4">
        <v>44734</v>
      </c>
      <c r="J66" s="1"/>
      <c r="K66" s="1"/>
      <c r="M66" s="4"/>
    </row>
    <row r="67" spans="1:13" hidden="1" x14ac:dyDescent="0.2">
      <c r="A67" t="s">
        <v>56</v>
      </c>
      <c r="B67" t="s">
        <v>57</v>
      </c>
      <c r="C67" t="s">
        <v>27</v>
      </c>
      <c r="D67" s="1">
        <v>50</v>
      </c>
      <c r="E67">
        <v>6</v>
      </c>
      <c r="F67" s="4">
        <v>44244</v>
      </c>
      <c r="J67" s="1"/>
      <c r="K67" s="1"/>
      <c r="M67" s="4"/>
    </row>
    <row r="68" spans="1:13" hidden="1" x14ac:dyDescent="0.2">
      <c r="A68" t="s">
        <v>56</v>
      </c>
      <c r="B68" t="s">
        <v>57</v>
      </c>
      <c r="C68" t="s">
        <v>27</v>
      </c>
      <c r="D68" s="1">
        <v>50</v>
      </c>
      <c r="E68">
        <v>8</v>
      </c>
      <c r="F68" s="4">
        <v>44496</v>
      </c>
      <c r="J68" s="1"/>
      <c r="K68" s="1"/>
      <c r="M68" s="4"/>
    </row>
    <row r="69" spans="1:13" hidden="1" x14ac:dyDescent="0.2">
      <c r="A69" t="s">
        <v>56</v>
      </c>
      <c r="B69" t="s">
        <v>57</v>
      </c>
      <c r="C69" t="s">
        <v>27</v>
      </c>
      <c r="D69" s="1">
        <v>50</v>
      </c>
      <c r="E69">
        <v>11</v>
      </c>
      <c r="F69" s="4">
        <v>44405</v>
      </c>
      <c r="J69" s="1"/>
      <c r="K69" s="1"/>
      <c r="M69" s="4"/>
    </row>
    <row r="70" spans="1:13" hidden="1" x14ac:dyDescent="0.2">
      <c r="A70" t="s">
        <v>52</v>
      </c>
      <c r="B70" t="s">
        <v>53</v>
      </c>
      <c r="C70" t="s">
        <v>54</v>
      </c>
      <c r="D70" s="1">
        <v>150</v>
      </c>
      <c r="E70">
        <v>12</v>
      </c>
      <c r="F70" s="4">
        <v>44436</v>
      </c>
      <c r="J70" s="1"/>
      <c r="K70" s="1"/>
      <c r="M70" s="4"/>
    </row>
    <row r="71" spans="1:13" hidden="1" x14ac:dyDescent="0.2">
      <c r="A71" t="s">
        <v>52</v>
      </c>
      <c r="B71" t="s">
        <v>53</v>
      </c>
      <c r="C71" t="s">
        <v>54</v>
      </c>
      <c r="D71" s="1">
        <v>150</v>
      </c>
      <c r="E71">
        <v>7</v>
      </c>
      <c r="F71" s="4">
        <v>44377</v>
      </c>
      <c r="J71" s="1"/>
      <c r="K71" s="1"/>
      <c r="M71" s="4"/>
    </row>
    <row r="72" spans="1:13" hidden="1" x14ac:dyDescent="0.2">
      <c r="A72" t="s">
        <v>52</v>
      </c>
      <c r="B72" t="s">
        <v>53</v>
      </c>
      <c r="C72" t="s">
        <v>54</v>
      </c>
      <c r="D72" s="1">
        <v>150</v>
      </c>
      <c r="E72">
        <v>6</v>
      </c>
      <c r="F72" s="4">
        <v>44384</v>
      </c>
      <c r="J72" s="1"/>
      <c r="K72" s="1"/>
      <c r="M72" s="4"/>
    </row>
    <row r="73" spans="1:13" hidden="1" x14ac:dyDescent="0.2">
      <c r="A73" t="s">
        <v>7</v>
      </c>
      <c r="B73" t="s">
        <v>8</v>
      </c>
      <c r="C73" t="s">
        <v>9</v>
      </c>
      <c r="D73" s="1">
        <v>150</v>
      </c>
      <c r="E73">
        <v>6</v>
      </c>
      <c r="F73" s="4">
        <v>44448</v>
      </c>
      <c r="J73" s="1"/>
      <c r="K73" s="1"/>
      <c r="M73" s="4"/>
    </row>
    <row r="74" spans="1:13" hidden="1" x14ac:dyDescent="0.2">
      <c r="A74" t="s">
        <v>7</v>
      </c>
      <c r="B74" t="s">
        <v>8</v>
      </c>
      <c r="C74" t="s">
        <v>9</v>
      </c>
      <c r="D74" s="1">
        <v>150</v>
      </c>
      <c r="E74">
        <v>8</v>
      </c>
      <c r="F74" s="4">
        <v>44301</v>
      </c>
      <c r="J74" s="1"/>
      <c r="K74" s="1"/>
      <c r="M74" s="4"/>
    </row>
    <row r="75" spans="1:13" hidden="1" x14ac:dyDescent="0.2">
      <c r="A75" t="s">
        <v>7</v>
      </c>
      <c r="B75" t="s">
        <v>8</v>
      </c>
      <c r="C75" t="s">
        <v>9</v>
      </c>
      <c r="D75" s="1">
        <v>150</v>
      </c>
      <c r="E75">
        <v>6</v>
      </c>
      <c r="F75" s="4">
        <v>44683</v>
      </c>
      <c r="J75" s="1"/>
      <c r="K75" s="1"/>
      <c r="M75" s="4"/>
    </row>
    <row r="76" spans="1:13" hidden="1" x14ac:dyDescent="0.2">
      <c r="A76" t="s">
        <v>7</v>
      </c>
      <c r="B76" t="s">
        <v>8</v>
      </c>
      <c r="C76" t="s">
        <v>9</v>
      </c>
      <c r="D76" s="1">
        <v>150</v>
      </c>
      <c r="E76">
        <v>11</v>
      </c>
      <c r="F76" s="4">
        <v>44660</v>
      </c>
      <c r="J76" s="1"/>
      <c r="K76" s="1"/>
      <c r="M76" s="4"/>
    </row>
    <row r="77" spans="1:13" hidden="1" x14ac:dyDescent="0.2">
      <c r="A77" t="s">
        <v>48</v>
      </c>
      <c r="B77" t="s">
        <v>66</v>
      </c>
      <c r="C77" t="s">
        <v>67</v>
      </c>
      <c r="D77" s="1">
        <v>195</v>
      </c>
      <c r="E77">
        <v>6</v>
      </c>
      <c r="F77" s="4">
        <v>44273</v>
      </c>
      <c r="J77" s="1"/>
      <c r="K77" s="1"/>
      <c r="M77" s="4"/>
    </row>
    <row r="78" spans="1:13" hidden="1" x14ac:dyDescent="0.2">
      <c r="A78" t="s">
        <v>48</v>
      </c>
      <c r="B78" t="s">
        <v>66</v>
      </c>
      <c r="C78" t="s">
        <v>67</v>
      </c>
      <c r="D78" s="1">
        <v>195</v>
      </c>
      <c r="E78">
        <v>7</v>
      </c>
      <c r="F78" s="4">
        <v>44490</v>
      </c>
      <c r="J78" s="1"/>
      <c r="K78" s="1"/>
      <c r="M78" s="4"/>
    </row>
    <row r="79" spans="1:13" hidden="1" x14ac:dyDescent="0.2">
      <c r="A79" t="s">
        <v>48</v>
      </c>
      <c r="B79" t="s">
        <v>66</v>
      </c>
      <c r="C79" t="s">
        <v>67</v>
      </c>
      <c r="D79" s="1">
        <v>195</v>
      </c>
      <c r="E79">
        <v>12</v>
      </c>
      <c r="F79" s="4">
        <v>44221</v>
      </c>
      <c r="J79" s="1"/>
      <c r="K79" s="1"/>
      <c r="M79" s="4"/>
    </row>
    <row r="80" spans="1:13" hidden="1" x14ac:dyDescent="0.2">
      <c r="A80" t="s">
        <v>48</v>
      </c>
      <c r="B80" t="s">
        <v>66</v>
      </c>
      <c r="C80" t="s">
        <v>67</v>
      </c>
      <c r="D80" s="1">
        <v>195</v>
      </c>
      <c r="E80">
        <v>13</v>
      </c>
      <c r="F80" s="4">
        <v>44514</v>
      </c>
      <c r="J80" s="1"/>
      <c r="K80" s="1"/>
      <c r="M80" s="4"/>
    </row>
    <row r="81" spans="1:13" hidden="1" x14ac:dyDescent="0.2">
      <c r="A81" t="s">
        <v>48</v>
      </c>
      <c r="B81" t="s">
        <v>66</v>
      </c>
      <c r="C81" t="s">
        <v>67</v>
      </c>
      <c r="D81" s="1">
        <v>195</v>
      </c>
      <c r="E81">
        <v>13</v>
      </c>
      <c r="F81" s="4">
        <v>44250</v>
      </c>
      <c r="J81" s="1"/>
      <c r="K81" s="1"/>
      <c r="M81" s="4"/>
    </row>
    <row r="82" spans="1:13" x14ac:dyDescent="0.2">
      <c r="A82" t="s">
        <v>29</v>
      </c>
      <c r="B82" t="s">
        <v>30</v>
      </c>
      <c r="C82" t="s">
        <v>31</v>
      </c>
      <c r="D82" s="62">
        <v>125</v>
      </c>
      <c r="E82">
        <v>10</v>
      </c>
      <c r="F82" s="4">
        <v>44353</v>
      </c>
      <c r="J82" s="1"/>
      <c r="K82" s="1"/>
      <c r="M82" s="4"/>
    </row>
    <row r="83" spans="1:13" hidden="1" x14ac:dyDescent="0.2">
      <c r="A83" t="s">
        <v>11</v>
      </c>
      <c r="B83" t="s">
        <v>155</v>
      </c>
      <c r="C83" t="s">
        <v>54</v>
      </c>
      <c r="D83" s="1">
        <v>160</v>
      </c>
      <c r="E83">
        <v>6</v>
      </c>
      <c r="F83" s="4">
        <v>44573</v>
      </c>
      <c r="J83" s="1"/>
      <c r="K83" s="1"/>
      <c r="M83" s="4"/>
    </row>
    <row r="84" spans="1:13" hidden="1" x14ac:dyDescent="0.2">
      <c r="A84" t="s">
        <v>11</v>
      </c>
      <c r="B84" t="s">
        <v>155</v>
      </c>
      <c r="C84" t="s">
        <v>54</v>
      </c>
      <c r="D84" s="1">
        <v>160</v>
      </c>
      <c r="E84">
        <v>11</v>
      </c>
      <c r="F84" s="4">
        <v>44629</v>
      </c>
      <c r="J84" s="1"/>
      <c r="K84" s="1"/>
      <c r="M84" s="4"/>
    </row>
    <row r="85" spans="1:13" hidden="1" x14ac:dyDescent="0.2">
      <c r="A85" t="s">
        <v>11</v>
      </c>
      <c r="B85" t="s">
        <v>155</v>
      </c>
      <c r="C85" t="s">
        <v>54</v>
      </c>
      <c r="D85" s="1">
        <v>160</v>
      </c>
      <c r="E85">
        <v>9</v>
      </c>
      <c r="F85" s="4">
        <v>44672</v>
      </c>
      <c r="J85" s="1"/>
      <c r="K85" s="1"/>
      <c r="M85" s="4"/>
    </row>
    <row r="86" spans="1:13" hidden="1" x14ac:dyDescent="0.2">
      <c r="A86" t="s">
        <v>11</v>
      </c>
      <c r="B86" t="s">
        <v>155</v>
      </c>
      <c r="C86" t="s">
        <v>54</v>
      </c>
      <c r="D86" s="1">
        <v>160</v>
      </c>
      <c r="E86">
        <v>8</v>
      </c>
      <c r="F86" s="4">
        <v>44485</v>
      </c>
      <c r="J86" s="1"/>
      <c r="K86" s="1"/>
      <c r="M86" s="4"/>
    </row>
    <row r="87" spans="1:13" hidden="1" x14ac:dyDescent="0.2">
      <c r="A87" t="s">
        <v>45</v>
      </c>
      <c r="B87" t="s">
        <v>72</v>
      </c>
      <c r="C87" t="s">
        <v>73</v>
      </c>
      <c r="D87" s="1">
        <v>150</v>
      </c>
      <c r="E87">
        <v>9</v>
      </c>
      <c r="F87" s="4">
        <v>44338</v>
      </c>
      <c r="J87" s="1"/>
      <c r="K87" s="1"/>
      <c r="M87" s="4"/>
    </row>
    <row r="88" spans="1:13" hidden="1" x14ac:dyDescent="0.2">
      <c r="A88" t="s">
        <v>45</v>
      </c>
      <c r="B88" t="s">
        <v>72</v>
      </c>
      <c r="C88" t="s">
        <v>73</v>
      </c>
      <c r="D88" s="1">
        <v>150</v>
      </c>
      <c r="E88">
        <v>5</v>
      </c>
      <c r="F88" s="4">
        <v>44555</v>
      </c>
      <c r="J88" s="1"/>
      <c r="K88" s="1"/>
      <c r="M88" s="4"/>
    </row>
    <row r="89" spans="1:13" hidden="1" x14ac:dyDescent="0.2">
      <c r="A89" t="s">
        <v>45</v>
      </c>
      <c r="B89" t="s">
        <v>72</v>
      </c>
      <c r="C89" t="s">
        <v>73</v>
      </c>
      <c r="D89" s="1">
        <v>150</v>
      </c>
      <c r="E89">
        <v>11</v>
      </c>
      <c r="F89" s="4">
        <v>44612</v>
      </c>
      <c r="J89" s="1"/>
      <c r="K89" s="1"/>
      <c r="M89" s="4"/>
    </row>
    <row r="90" spans="1:13" hidden="1" x14ac:dyDescent="0.2">
      <c r="A90" t="s">
        <v>45</v>
      </c>
      <c r="B90" t="s">
        <v>72</v>
      </c>
      <c r="C90" t="s">
        <v>73</v>
      </c>
      <c r="D90" s="1">
        <v>150</v>
      </c>
      <c r="E90">
        <v>9</v>
      </c>
      <c r="F90" s="4">
        <v>44302</v>
      </c>
      <c r="J90" s="1"/>
      <c r="K90" s="1"/>
      <c r="M90" s="4"/>
    </row>
    <row r="91" spans="1:13" x14ac:dyDescent="0.2">
      <c r="A91" t="s">
        <v>29</v>
      </c>
      <c r="B91" t="s">
        <v>30</v>
      </c>
      <c r="C91" t="s">
        <v>31</v>
      </c>
      <c r="D91" s="62">
        <v>125</v>
      </c>
      <c r="E91">
        <v>10</v>
      </c>
      <c r="F91" s="4">
        <v>44500</v>
      </c>
      <c r="J91" s="1"/>
      <c r="K91" s="1"/>
      <c r="M91" s="4"/>
    </row>
    <row r="92" spans="1:13" hidden="1" x14ac:dyDescent="0.2">
      <c r="A92" t="s">
        <v>59</v>
      </c>
      <c r="B92" t="s">
        <v>69</v>
      </c>
      <c r="C92" t="s">
        <v>70</v>
      </c>
      <c r="D92" s="1">
        <v>175</v>
      </c>
      <c r="E92">
        <v>5</v>
      </c>
      <c r="F92" s="4">
        <v>44732</v>
      </c>
      <c r="J92" s="1"/>
      <c r="K92" s="1"/>
      <c r="M92" s="4"/>
    </row>
    <row r="93" spans="1:13" hidden="1" x14ac:dyDescent="0.2">
      <c r="A93" t="s">
        <v>59</v>
      </c>
      <c r="B93" t="s">
        <v>69</v>
      </c>
      <c r="C93" t="s">
        <v>70</v>
      </c>
      <c r="D93" s="1">
        <v>175</v>
      </c>
      <c r="E93">
        <v>11</v>
      </c>
      <c r="F93" s="4">
        <v>44667</v>
      </c>
      <c r="J93" s="1"/>
      <c r="K93" s="1"/>
      <c r="M93" s="4"/>
    </row>
    <row r="94" spans="1:13" hidden="1" x14ac:dyDescent="0.2">
      <c r="A94" t="s">
        <v>59</v>
      </c>
      <c r="B94" t="s">
        <v>69</v>
      </c>
      <c r="C94" t="s">
        <v>70</v>
      </c>
      <c r="D94" s="1">
        <v>175</v>
      </c>
      <c r="E94">
        <v>7</v>
      </c>
      <c r="F94" s="4">
        <v>44299</v>
      </c>
      <c r="J94" s="1"/>
      <c r="K94" s="1"/>
      <c r="M94" s="4"/>
    </row>
    <row r="95" spans="1:13" hidden="1" x14ac:dyDescent="0.2">
      <c r="A95" t="s">
        <v>59</v>
      </c>
      <c r="B95" t="s">
        <v>69</v>
      </c>
      <c r="C95" t="s">
        <v>70</v>
      </c>
      <c r="D95" s="1">
        <v>175</v>
      </c>
      <c r="E95">
        <v>5</v>
      </c>
      <c r="F95" s="4">
        <v>44550</v>
      </c>
      <c r="J95" s="1"/>
      <c r="K95" s="1"/>
      <c r="M95" s="4"/>
    </row>
    <row r="96" spans="1:13" hidden="1" x14ac:dyDescent="0.2">
      <c r="A96" t="s">
        <v>48</v>
      </c>
      <c r="B96" t="s">
        <v>49</v>
      </c>
      <c r="C96" t="s">
        <v>50</v>
      </c>
      <c r="D96" s="1">
        <v>100</v>
      </c>
      <c r="E96">
        <v>8</v>
      </c>
      <c r="F96" s="4">
        <v>44199</v>
      </c>
      <c r="J96" s="1"/>
      <c r="K96" s="1"/>
      <c r="M96" s="4"/>
    </row>
    <row r="97" spans="1:13" hidden="1" x14ac:dyDescent="0.2">
      <c r="A97" t="s">
        <v>48</v>
      </c>
      <c r="B97" t="s">
        <v>49</v>
      </c>
      <c r="C97" t="s">
        <v>50</v>
      </c>
      <c r="D97" s="1">
        <v>100</v>
      </c>
      <c r="E97">
        <v>10</v>
      </c>
      <c r="F97" s="4">
        <v>44452</v>
      </c>
      <c r="J97" s="1"/>
      <c r="K97" s="1"/>
      <c r="M97" s="4"/>
    </row>
    <row r="98" spans="1:13" hidden="1" x14ac:dyDescent="0.2">
      <c r="A98" t="s">
        <v>48</v>
      </c>
      <c r="B98" t="s">
        <v>49</v>
      </c>
      <c r="C98" t="s">
        <v>50</v>
      </c>
      <c r="D98" s="1">
        <v>100</v>
      </c>
      <c r="E98">
        <v>12</v>
      </c>
      <c r="F98" s="4">
        <v>44285</v>
      </c>
      <c r="J98" s="1"/>
      <c r="K98" s="1"/>
      <c r="M98" s="4"/>
    </row>
    <row r="99" spans="1:13" hidden="1" x14ac:dyDescent="0.2">
      <c r="A99" t="s">
        <v>59</v>
      </c>
      <c r="B99" t="s">
        <v>60</v>
      </c>
      <c r="C99" t="s">
        <v>61</v>
      </c>
      <c r="D99" s="1">
        <v>165</v>
      </c>
      <c r="E99">
        <v>7</v>
      </c>
      <c r="F99" s="4">
        <v>44739</v>
      </c>
      <c r="J99" s="1"/>
      <c r="K99" s="1"/>
      <c r="M99" s="4"/>
    </row>
    <row r="100" spans="1:13" x14ac:dyDescent="0.2">
      <c r="A100" t="s">
        <v>29</v>
      </c>
      <c r="B100" t="s">
        <v>30</v>
      </c>
      <c r="C100" t="s">
        <v>31</v>
      </c>
      <c r="D100" s="62">
        <v>125</v>
      </c>
      <c r="E100">
        <v>9</v>
      </c>
      <c r="F100" s="4">
        <v>44539</v>
      </c>
      <c r="J100" s="1"/>
      <c r="K100" s="1"/>
      <c r="M100" s="4"/>
    </row>
    <row r="101" spans="1:13" x14ac:dyDescent="0.2">
      <c r="A101" t="s">
        <v>11</v>
      </c>
      <c r="B101" t="s">
        <v>155</v>
      </c>
      <c r="C101" t="s">
        <v>54</v>
      </c>
      <c r="D101" s="62">
        <v>160</v>
      </c>
      <c r="E101">
        <v>12</v>
      </c>
      <c r="F101" s="4">
        <v>44558</v>
      </c>
      <c r="J101" s="1"/>
      <c r="K101" s="1"/>
      <c r="M101" s="4"/>
    </row>
    <row r="102" spans="1:13" hidden="1" x14ac:dyDescent="0.2">
      <c r="D102">
        <f>SUM(amount)</f>
        <v>16818</v>
      </c>
      <c r="M102" s="3"/>
    </row>
    <row r="103" spans="1:13" x14ac:dyDescent="0.2">
      <c r="D103" s="62">
        <f>SUBTOTAL(9,amount)</f>
        <v>2190</v>
      </c>
      <c r="F103" s="4"/>
    </row>
  </sheetData>
  <sheetProtection sort="0"/>
  <conditionalFormatting sqref="A1:F103">
    <cfRule type="cellIs" dxfId="5" priority="4" operator="between">
      <formula>DATE(2021,4,1)</formula>
      <formula>DATE(2021,4,30)</formula>
    </cfRule>
    <cfRule type="expression" dxfId="4" priority="12">
      <formula>$E2&gt;10</formula>
    </cfRule>
  </conditionalFormatting>
  <conditionalFormatting sqref="A2:F101">
    <cfRule type="expression" dxfId="3" priority="1">
      <formula>AND($F2&gt;=DATE(2022,4,1),$F2&lt;=DATE(2022,4,30))</formula>
    </cfRule>
    <cfRule type="expression" dxfId="2" priority="2">
      <formula>AND($F2&gt;=DATE(2021,4,1),$F2&lt;=DATE(2021,4,30))</formula>
    </cfRule>
  </conditionalFormatting>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A4F525-605C-BD4C-8B35-B216B0773735}">
  <sheetPr codeName="Sheet6"/>
  <dimension ref="A1:E22"/>
  <sheetViews>
    <sheetView zoomScale="125" zoomScaleNormal="113" workbookViewId="0">
      <selection activeCell="D26" sqref="D26"/>
    </sheetView>
  </sheetViews>
  <sheetFormatPr baseColWidth="10" defaultRowHeight="15" x14ac:dyDescent="0.2"/>
  <cols>
    <col min="1" max="2" width="19.33203125" customWidth="1"/>
    <col min="3" max="3" width="12.83203125" customWidth="1"/>
    <col min="4" max="4" width="13.5" customWidth="1"/>
    <col min="5" max="5" width="13.6640625" customWidth="1"/>
  </cols>
  <sheetData>
    <row r="1" spans="1:5" x14ac:dyDescent="0.2">
      <c r="A1" s="5" t="s">
        <v>0</v>
      </c>
      <c r="B1" s="5" t="s">
        <v>1</v>
      </c>
      <c r="C1" s="6" t="s">
        <v>159</v>
      </c>
      <c r="D1" s="7" t="s">
        <v>186</v>
      </c>
      <c r="E1" s="6" t="s">
        <v>187</v>
      </c>
    </row>
    <row r="2" spans="1:5" x14ac:dyDescent="0.2">
      <c r="A2" s="8" t="s">
        <v>7</v>
      </c>
      <c r="B2" s="8" t="s">
        <v>8</v>
      </c>
      <c r="C2" s="6">
        <f>COUNTIF('Dress Rental (QA)'!A:I,'1. Quick Analysis (QA)'!B3)</f>
        <v>4</v>
      </c>
      <c r="D2" s="6">
        <f>COUNTIFS('Dress Rental (QA)'!C:C,'1. Quick Analysis (QA)'!B3,'Dress Rental (QA)'!I:I,2021)</f>
        <v>2</v>
      </c>
      <c r="E2" s="6">
        <f>COUNTIFS('Dress Rental (QA)'!C:C,'1. Quick Analysis (QA)'!B3,'Dress Rental (QA)'!I:I,2022)</f>
        <v>2</v>
      </c>
    </row>
    <row r="3" spans="1:5" x14ac:dyDescent="0.2">
      <c r="A3" s="8" t="s">
        <v>11</v>
      </c>
      <c r="B3" s="8" t="s">
        <v>12</v>
      </c>
      <c r="C3" s="6">
        <f>COUNTIF('Dress Rental (QA)'!A:I,'1. Quick Analysis (QA)'!B4)</f>
        <v>3</v>
      </c>
      <c r="D3" s="6">
        <f>COUNTIFS('Dress Rental (QA)'!C:C,'1. Quick Analysis (QA)'!B4,'Dress Rental (QA)'!I:I,2021)</f>
        <v>1</v>
      </c>
      <c r="E3" s="6">
        <f>COUNTIFS('Dress Rental (QA)'!C:C,'1. Quick Analysis (QA)'!B4,'Dress Rental (QA)'!I:I,2022)</f>
        <v>2</v>
      </c>
    </row>
    <row r="4" spans="1:5" x14ac:dyDescent="0.2">
      <c r="A4" s="8" t="s">
        <v>15</v>
      </c>
      <c r="B4" s="8" t="s">
        <v>16</v>
      </c>
      <c r="C4" s="6">
        <f>COUNTIF('Dress Rental (QA)'!A:I,'1. Quick Analysis (QA)'!B5)</f>
        <v>6</v>
      </c>
      <c r="D4" s="6">
        <f>COUNTIFS('Dress Rental (QA)'!C:C,'1. Quick Analysis (QA)'!B5,'Dress Rental (QA)'!I:I,2021)</f>
        <v>5</v>
      </c>
      <c r="E4" s="6">
        <f>COUNTIFS('Dress Rental (QA)'!C:C,'1. Quick Analysis (QA)'!B5,'Dress Rental (QA)'!I:I,2022)</f>
        <v>1</v>
      </c>
    </row>
    <row r="5" spans="1:5" x14ac:dyDescent="0.2">
      <c r="A5" s="8" t="s">
        <v>18</v>
      </c>
      <c r="B5" s="8" t="s">
        <v>19</v>
      </c>
      <c r="C5" s="6">
        <f>COUNTIF('Dress Rental (QA)'!A:I,'1. Quick Analysis (QA)'!B6)</f>
        <v>6</v>
      </c>
      <c r="D5" s="6">
        <f>COUNTIFS('Dress Rental (QA)'!C:C,'1. Quick Analysis (QA)'!B6,'Dress Rental (QA)'!I:I,2021)</f>
        <v>2</v>
      </c>
      <c r="E5" s="6">
        <f>COUNTIFS('Dress Rental (QA)'!C:C,'1. Quick Analysis (QA)'!B6,'Dress Rental (QA)'!I:I,2022)</f>
        <v>4</v>
      </c>
    </row>
    <row r="6" spans="1:5" x14ac:dyDescent="0.2">
      <c r="A6" s="8" t="s">
        <v>22</v>
      </c>
      <c r="B6" s="8" t="s">
        <v>23</v>
      </c>
      <c r="C6" s="6">
        <f>COUNTIF('Dress Rental (QA)'!A:I,'1. Quick Analysis (QA)'!B7)</f>
        <v>7</v>
      </c>
      <c r="D6" s="6">
        <f>COUNTIFS('Dress Rental (QA)'!C:C,'1. Quick Analysis (QA)'!B7,'Dress Rental (QA)'!I:I,2021)</f>
        <v>4</v>
      </c>
      <c r="E6" s="6">
        <f>COUNTIFS('Dress Rental (QA)'!C:C,'1. Quick Analysis (QA)'!B7,'Dress Rental (QA)'!I:I,2022)</f>
        <v>3</v>
      </c>
    </row>
    <row r="7" spans="1:5" x14ac:dyDescent="0.2">
      <c r="A7" s="8" t="s">
        <v>25</v>
      </c>
      <c r="B7" s="8" t="s">
        <v>26</v>
      </c>
      <c r="C7" s="6">
        <f>COUNTIF('Dress Rental (QA)'!A:I,'1. Quick Analysis (QA)'!B8)</f>
        <v>5</v>
      </c>
      <c r="D7" s="6">
        <f>COUNTIFS('Dress Rental (QA)'!C:C,'1. Quick Analysis (QA)'!B8,'Dress Rental (QA)'!I:I,2021)</f>
        <v>4</v>
      </c>
      <c r="E7" s="6">
        <f>COUNTIFS('Dress Rental (QA)'!C:C,'1. Quick Analysis (QA)'!B8,'Dress Rental (QA)'!I:I,2022)</f>
        <v>1</v>
      </c>
    </row>
    <row r="8" spans="1:5" x14ac:dyDescent="0.2">
      <c r="A8" s="8" t="s">
        <v>29</v>
      </c>
      <c r="B8" s="8" t="s">
        <v>30</v>
      </c>
      <c r="C8" s="6">
        <f>COUNTIF('Dress Rental (QA)'!A:I,'1. Quick Analysis (QA)'!B9)</f>
        <v>7</v>
      </c>
      <c r="D8" s="6">
        <f>COUNTIFS('Dress Rental (QA)'!C:C,'1. Quick Analysis (QA)'!B9,'Dress Rental (QA)'!I:I,2021)</f>
        <v>6</v>
      </c>
      <c r="E8" s="6">
        <f>COUNTIFS('Dress Rental (QA)'!C:C,'1. Quick Analysis (QA)'!B9,'Dress Rental (QA)'!I:I,2022)</f>
        <v>1</v>
      </c>
    </row>
    <row r="9" spans="1:5" x14ac:dyDescent="0.2">
      <c r="A9" s="8" t="s">
        <v>33</v>
      </c>
      <c r="B9" s="8" t="s">
        <v>34</v>
      </c>
      <c r="C9" s="6">
        <f>COUNTIF('Dress Rental (QA)'!A:I,'1. Quick Analysis (QA)'!B10)</f>
        <v>8</v>
      </c>
      <c r="D9" s="6">
        <f>COUNTIFS('Dress Rental (QA)'!C:C,'1. Quick Analysis (QA)'!B10,'Dress Rental (QA)'!I:I,2021)</f>
        <v>4</v>
      </c>
      <c r="E9" s="6">
        <f>COUNTIFS('Dress Rental (QA)'!C:C,'1. Quick Analysis (QA)'!B10,'Dress Rental (QA)'!I:I,2022)</f>
        <v>4</v>
      </c>
    </row>
    <row r="10" spans="1:5" x14ac:dyDescent="0.2">
      <c r="A10" s="8" t="s">
        <v>37</v>
      </c>
      <c r="B10" s="8" t="s">
        <v>38</v>
      </c>
      <c r="C10" s="6">
        <f>COUNTIF('Dress Rental (QA)'!A:I,'1. Quick Analysis (QA)'!B11)</f>
        <v>5</v>
      </c>
      <c r="D10" s="6">
        <f>COUNTIFS('Dress Rental (QA)'!C:C,'1. Quick Analysis (QA)'!B11,'Dress Rental (QA)'!I:I,2021)</f>
        <v>2</v>
      </c>
      <c r="E10" s="6">
        <f>COUNTIFS('Dress Rental (QA)'!C:C,'1. Quick Analysis (QA)'!B11,'Dress Rental (QA)'!I:I,2022)</f>
        <v>3</v>
      </c>
    </row>
    <row r="11" spans="1:5" x14ac:dyDescent="0.2">
      <c r="A11" s="8" t="s">
        <v>41</v>
      </c>
      <c r="B11" s="8" t="s">
        <v>42</v>
      </c>
      <c r="C11" s="6">
        <f>COUNTIF('Dress Rental (QA)'!A:I,'1. Quick Analysis (QA)'!B12)</f>
        <v>5</v>
      </c>
      <c r="D11" s="6">
        <f>COUNTIFS('Dress Rental (QA)'!C:C,'1. Quick Analysis (QA)'!B12,'Dress Rental (QA)'!I:I,2021)</f>
        <v>4</v>
      </c>
      <c r="E11" s="6">
        <f>COUNTIFS('Dress Rental (QA)'!C:C,'1. Quick Analysis (QA)'!B12,'Dress Rental (QA)'!I:I,2022)</f>
        <v>1</v>
      </c>
    </row>
    <row r="12" spans="1:5" x14ac:dyDescent="0.2">
      <c r="A12" s="8" t="s">
        <v>45</v>
      </c>
      <c r="B12" s="8" t="s">
        <v>46</v>
      </c>
      <c r="C12" s="6">
        <f>COUNTIF('Dress Rental (QA)'!A:I,'1. Quick Analysis (QA)'!B13)</f>
        <v>6</v>
      </c>
      <c r="D12" s="6">
        <f>COUNTIFS('Dress Rental (QA)'!C:C,'1. Quick Analysis (QA)'!B13,'Dress Rental (QA)'!I:I,2021)</f>
        <v>2</v>
      </c>
      <c r="E12" s="6">
        <f>COUNTIFS('Dress Rental (QA)'!C:C,'1. Quick Analysis (QA)'!B13,'Dress Rental (QA)'!I:I,2022)</f>
        <v>4</v>
      </c>
    </row>
    <row r="13" spans="1:5" x14ac:dyDescent="0.2">
      <c r="A13" s="8" t="s">
        <v>48</v>
      </c>
      <c r="B13" s="8" t="s">
        <v>49</v>
      </c>
      <c r="C13" s="6">
        <f>COUNTIF('Dress Rental (QA)'!A:I,'1. Quick Analysis (QA)'!B14)</f>
        <v>3</v>
      </c>
      <c r="D13" s="6">
        <f>COUNTIFS('Dress Rental (QA)'!C:C,'1. Quick Analysis (QA)'!B14,'Dress Rental (QA)'!I:I,2021)</f>
        <v>3</v>
      </c>
      <c r="E13" s="6">
        <f>COUNTIFS('Dress Rental (QA)'!C:C,'1. Quick Analysis (QA)'!B14,'Dress Rental (QA)'!I:I,2022)</f>
        <v>0</v>
      </c>
    </row>
    <row r="14" spans="1:5" x14ac:dyDescent="0.2">
      <c r="A14" s="8" t="s">
        <v>52</v>
      </c>
      <c r="B14" s="8" t="s">
        <v>53</v>
      </c>
      <c r="C14" s="6">
        <f>COUNTIF('Dress Rental (QA)'!A:I,'1. Quick Analysis (QA)'!B15)</f>
        <v>3</v>
      </c>
      <c r="D14" s="6">
        <f>COUNTIFS('Dress Rental (QA)'!C:C,'1. Quick Analysis (QA)'!B15,'Dress Rental (QA)'!I:I,2021)</f>
        <v>3</v>
      </c>
      <c r="E14" s="6">
        <f>COUNTIFS('Dress Rental (QA)'!C:C,'1. Quick Analysis (QA)'!B15,'Dress Rental (QA)'!I:I,2022)</f>
        <v>0</v>
      </c>
    </row>
    <row r="15" spans="1:5" x14ac:dyDescent="0.2">
      <c r="A15" s="8" t="s">
        <v>56</v>
      </c>
      <c r="B15" s="8" t="s">
        <v>57</v>
      </c>
      <c r="C15" s="6">
        <f>COUNTIF('Dress Rental (QA)'!A:I,'1. Quick Analysis (QA)'!B16)</f>
        <v>3</v>
      </c>
      <c r="D15" s="6">
        <f>COUNTIFS('Dress Rental (QA)'!C:C,'1. Quick Analysis (QA)'!B16,'Dress Rental (QA)'!I:I,2021)</f>
        <v>3</v>
      </c>
      <c r="E15" s="6">
        <f>COUNTIFS('Dress Rental (QA)'!C:C,'1. Quick Analysis (QA)'!B16,'Dress Rental (QA)'!I:I,2022)</f>
        <v>0</v>
      </c>
    </row>
    <row r="16" spans="1:5" x14ac:dyDescent="0.2">
      <c r="A16" s="8" t="s">
        <v>59</v>
      </c>
      <c r="B16" s="8" t="s">
        <v>60</v>
      </c>
      <c r="C16" s="6">
        <f>COUNTIF('Dress Rental (QA)'!A:I,'1. Quick Analysis (QA)'!B17)</f>
        <v>3</v>
      </c>
      <c r="D16" s="6">
        <f>COUNTIFS('Dress Rental (QA)'!C:C,'1. Quick Analysis (QA)'!B17,'Dress Rental (QA)'!I:I,2021)</f>
        <v>2</v>
      </c>
      <c r="E16" s="6">
        <f>COUNTIFS('Dress Rental (QA)'!C:C,'1. Quick Analysis (QA)'!B17,'Dress Rental (QA)'!I:I,2022)</f>
        <v>1</v>
      </c>
    </row>
    <row r="17" spans="1:5" x14ac:dyDescent="0.2">
      <c r="A17" s="8" t="s">
        <v>11</v>
      </c>
      <c r="B17" s="8" t="s">
        <v>158</v>
      </c>
      <c r="C17" s="6">
        <f>COUNTIF('Dress Rental (QA)'!A:I,'1. Quick Analysis (QA)'!B18)</f>
        <v>5</v>
      </c>
      <c r="D17" s="6">
        <f>COUNTIFS('Dress Rental (QA)'!C:C,'1. Quick Analysis (QA)'!B18,'Dress Rental (QA)'!I:I,2021)</f>
        <v>2</v>
      </c>
      <c r="E17" s="6">
        <f>COUNTIFS('Dress Rental (QA)'!C:C,'1. Quick Analysis (QA)'!B18,'Dress Rental (QA)'!I:I,2022)</f>
        <v>3</v>
      </c>
    </row>
    <row r="18" spans="1:5" x14ac:dyDescent="0.2">
      <c r="A18" s="8" t="s">
        <v>15</v>
      </c>
      <c r="B18" s="8" t="s">
        <v>64</v>
      </c>
      <c r="C18" s="6">
        <f>COUNTIF('Dress Rental (QA)'!A:I,'1. Quick Analysis (QA)'!B19)</f>
        <v>7</v>
      </c>
      <c r="D18" s="6">
        <f>COUNTIFS('Dress Rental (QA)'!C:C,'1. Quick Analysis (QA)'!B19,'Dress Rental (QA)'!I:I,2021)</f>
        <v>4</v>
      </c>
      <c r="E18" s="6">
        <f>COUNTIFS('Dress Rental (QA)'!C:C,'1. Quick Analysis (QA)'!B19,'Dress Rental (QA)'!I:I,2022)</f>
        <v>3</v>
      </c>
    </row>
    <row r="19" spans="1:5" x14ac:dyDescent="0.2">
      <c r="A19" s="8" t="s">
        <v>48</v>
      </c>
      <c r="B19" s="8" t="s">
        <v>66</v>
      </c>
      <c r="C19" s="6">
        <f>COUNTIF('Dress Rental (QA)'!A:I,'1. Quick Analysis (QA)'!B20)</f>
        <v>5</v>
      </c>
      <c r="D19" s="6">
        <f>COUNTIFS('Dress Rental (QA)'!C:C,'1. Quick Analysis (QA)'!B20,'Dress Rental (QA)'!I:I,2021)</f>
        <v>5</v>
      </c>
      <c r="E19" s="6">
        <f>COUNTIFS('Dress Rental (QA)'!C:C,'1. Quick Analysis (QA)'!B20,'Dress Rental (QA)'!I:I,2022)</f>
        <v>0</v>
      </c>
    </row>
    <row r="20" spans="1:5" x14ac:dyDescent="0.2">
      <c r="A20" s="8" t="s">
        <v>59</v>
      </c>
      <c r="B20" s="8" t="s">
        <v>69</v>
      </c>
      <c r="C20" s="6">
        <f>COUNTIF('Dress Rental (QA)'!A:I,'1. Quick Analysis (QA)'!B21)</f>
        <v>5</v>
      </c>
      <c r="D20" s="6">
        <f>COUNTIFS('Dress Rental (QA)'!C:C,'1. Quick Analysis (QA)'!B21,'Dress Rental (QA)'!I:I,2021)</f>
        <v>3</v>
      </c>
      <c r="E20" s="6">
        <f>COUNTIFS('Dress Rental (QA)'!C:C,'1. Quick Analysis (QA)'!B21,'Dress Rental (QA)'!I:I,2022)</f>
        <v>2</v>
      </c>
    </row>
    <row r="21" spans="1:5" x14ac:dyDescent="0.2">
      <c r="A21" s="8" t="s">
        <v>45</v>
      </c>
      <c r="B21" s="8" t="s">
        <v>72</v>
      </c>
      <c r="C21" s="6">
        <f>COUNTIF('Dress Rental (QA)'!A:I,'1. Quick Analysis (QA)'!B22)</f>
        <v>4</v>
      </c>
      <c r="D21" s="6">
        <f>COUNTIFS('Dress Rental (QA)'!C:C,'1. Quick Analysis (QA)'!B22,'Dress Rental (QA)'!I:I,2021)</f>
        <v>3</v>
      </c>
      <c r="E21" s="6">
        <f>COUNTIFS('Dress Rental (QA)'!C:C,'1. Quick Analysis (QA)'!B22,'Dress Rental (QA)'!I:I,2022)</f>
        <v>1</v>
      </c>
    </row>
    <row r="22" spans="1:5" x14ac:dyDescent="0.2">
      <c r="A22" s="24"/>
      <c r="B22" s="25" t="s">
        <v>185</v>
      </c>
      <c r="C22" s="26">
        <f>SUM(Table278[No. Rentals])</f>
        <v>100</v>
      </c>
      <c r="D22" s="27">
        <f>SUM(Table278[Rentals in 2021])</f>
        <v>64</v>
      </c>
      <c r="E22" s="27">
        <f>SUM(Table278[Rentals in 2022])</f>
        <v>36</v>
      </c>
    </row>
  </sheetData>
  <sheetProtection sort="0"/>
  <pageMargins left="0.7" right="0.7" top="0.75" bottom="0.75" header="0.3" footer="0.3"/>
  <pageSetup paperSize="9" orientation="portrait" horizontalDpi="0" verticalDpi="0"/>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D1355A-0B7B-7D49-AEE2-2E37055068A3}">
  <sheetPr codeName="Sheet7"/>
  <dimension ref="A2:C38"/>
  <sheetViews>
    <sheetView workbookViewId="0">
      <selection activeCell="G13" sqref="G13"/>
    </sheetView>
  </sheetViews>
  <sheetFormatPr baseColWidth="10" defaultRowHeight="15" x14ac:dyDescent="0.2"/>
  <cols>
    <col min="1" max="1" width="20.33203125" bestFit="1" customWidth="1"/>
    <col min="2" max="3" width="18.6640625" bestFit="1" customWidth="1"/>
    <col min="4" max="4" width="16.83203125" bestFit="1" customWidth="1"/>
  </cols>
  <sheetData>
    <row r="2" spans="1:3" x14ac:dyDescent="0.2">
      <c r="A2" s="28" t="s">
        <v>188</v>
      </c>
      <c r="B2" t="s">
        <v>190</v>
      </c>
      <c r="C2" t="s">
        <v>191</v>
      </c>
    </row>
    <row r="3" spans="1:3" x14ac:dyDescent="0.2">
      <c r="A3" s="29" t="s">
        <v>25</v>
      </c>
      <c r="B3" s="63">
        <v>4</v>
      </c>
      <c r="C3" s="63">
        <v>1</v>
      </c>
    </row>
    <row r="4" spans="1:3" x14ac:dyDescent="0.2">
      <c r="A4" s="30" t="s">
        <v>26</v>
      </c>
      <c r="B4" s="63">
        <v>4</v>
      </c>
      <c r="C4" s="63">
        <v>1</v>
      </c>
    </row>
    <row r="5" spans="1:3" x14ac:dyDescent="0.2">
      <c r="A5" s="29" t="s">
        <v>59</v>
      </c>
      <c r="B5" s="63">
        <v>5</v>
      </c>
      <c r="C5" s="63">
        <v>3</v>
      </c>
    </row>
    <row r="6" spans="1:3" x14ac:dyDescent="0.2">
      <c r="A6" s="30" t="s">
        <v>69</v>
      </c>
      <c r="B6" s="63">
        <v>3</v>
      </c>
      <c r="C6" s="63">
        <v>2</v>
      </c>
    </row>
    <row r="7" spans="1:3" x14ac:dyDescent="0.2">
      <c r="A7" s="30" t="s">
        <v>60</v>
      </c>
      <c r="B7" s="63">
        <v>2</v>
      </c>
      <c r="C7" s="63">
        <v>1</v>
      </c>
    </row>
    <row r="8" spans="1:3" x14ac:dyDescent="0.2">
      <c r="A8" s="29" t="s">
        <v>52</v>
      </c>
      <c r="B8" s="63">
        <v>3</v>
      </c>
      <c r="C8" s="63">
        <v>0</v>
      </c>
    </row>
    <row r="9" spans="1:3" x14ac:dyDescent="0.2">
      <c r="A9" s="30" t="s">
        <v>53</v>
      </c>
      <c r="B9" s="63">
        <v>3</v>
      </c>
      <c r="C9" s="63">
        <v>0</v>
      </c>
    </row>
    <row r="10" spans="1:3" x14ac:dyDescent="0.2">
      <c r="A10" s="29" t="s">
        <v>56</v>
      </c>
      <c r="B10" s="63">
        <v>3</v>
      </c>
      <c r="C10" s="63">
        <v>0</v>
      </c>
    </row>
    <row r="11" spans="1:3" x14ac:dyDescent="0.2">
      <c r="A11" s="30" t="s">
        <v>57</v>
      </c>
      <c r="B11" s="63">
        <v>3</v>
      </c>
      <c r="C11" s="63">
        <v>0</v>
      </c>
    </row>
    <row r="12" spans="1:3" x14ac:dyDescent="0.2">
      <c r="A12" s="29" t="s">
        <v>48</v>
      </c>
      <c r="B12" s="63">
        <v>8</v>
      </c>
      <c r="C12" s="63">
        <v>0</v>
      </c>
    </row>
    <row r="13" spans="1:3" x14ac:dyDescent="0.2">
      <c r="A13" s="30" t="s">
        <v>66</v>
      </c>
      <c r="B13" s="63">
        <v>5</v>
      </c>
      <c r="C13" s="63">
        <v>0</v>
      </c>
    </row>
    <row r="14" spans="1:3" x14ac:dyDescent="0.2">
      <c r="A14" s="30" t="s">
        <v>49</v>
      </c>
      <c r="B14" s="63">
        <v>3</v>
      </c>
      <c r="C14" s="63">
        <v>0</v>
      </c>
    </row>
    <row r="15" spans="1:3" x14ac:dyDescent="0.2">
      <c r="A15" s="29" t="s">
        <v>22</v>
      </c>
      <c r="B15" s="63">
        <v>4</v>
      </c>
      <c r="C15" s="63">
        <v>3</v>
      </c>
    </row>
    <row r="16" spans="1:3" x14ac:dyDescent="0.2">
      <c r="A16" s="30" t="s">
        <v>23</v>
      </c>
      <c r="B16" s="63">
        <v>4</v>
      </c>
      <c r="C16" s="63">
        <v>3</v>
      </c>
    </row>
    <row r="17" spans="1:3" x14ac:dyDescent="0.2">
      <c r="A17" s="29" t="s">
        <v>7</v>
      </c>
      <c r="B17" s="63">
        <v>2</v>
      </c>
      <c r="C17" s="63">
        <v>2</v>
      </c>
    </row>
    <row r="18" spans="1:3" x14ac:dyDescent="0.2">
      <c r="A18" s="30" t="s">
        <v>8</v>
      </c>
      <c r="B18" s="63">
        <v>2</v>
      </c>
      <c r="C18" s="63">
        <v>2</v>
      </c>
    </row>
    <row r="19" spans="1:3" x14ac:dyDescent="0.2">
      <c r="A19" s="29" t="s">
        <v>45</v>
      </c>
      <c r="B19" s="63">
        <v>5</v>
      </c>
      <c r="C19" s="63">
        <v>5</v>
      </c>
    </row>
    <row r="20" spans="1:3" x14ac:dyDescent="0.2">
      <c r="A20" s="30" t="s">
        <v>46</v>
      </c>
      <c r="B20" s="63">
        <v>2</v>
      </c>
      <c r="C20" s="63">
        <v>4</v>
      </c>
    </row>
    <row r="21" spans="1:3" x14ac:dyDescent="0.2">
      <c r="A21" s="30" t="s">
        <v>72</v>
      </c>
      <c r="B21" s="63">
        <v>3</v>
      </c>
      <c r="C21" s="63">
        <v>1</v>
      </c>
    </row>
    <row r="22" spans="1:3" x14ac:dyDescent="0.2">
      <c r="A22" s="29" t="s">
        <v>41</v>
      </c>
      <c r="B22" s="63">
        <v>4</v>
      </c>
      <c r="C22" s="63">
        <v>1</v>
      </c>
    </row>
    <row r="23" spans="1:3" x14ac:dyDescent="0.2">
      <c r="A23" s="30" t="s">
        <v>42</v>
      </c>
      <c r="B23" s="63">
        <v>4</v>
      </c>
      <c r="C23" s="63">
        <v>1</v>
      </c>
    </row>
    <row r="24" spans="1:3" x14ac:dyDescent="0.2">
      <c r="A24" s="29" t="s">
        <v>15</v>
      </c>
      <c r="B24" s="63">
        <v>9</v>
      </c>
      <c r="C24" s="63">
        <v>4</v>
      </c>
    </row>
    <row r="25" spans="1:3" x14ac:dyDescent="0.2">
      <c r="A25" s="30" t="s">
        <v>16</v>
      </c>
      <c r="B25" s="63">
        <v>5</v>
      </c>
      <c r="C25" s="63">
        <v>1</v>
      </c>
    </row>
    <row r="26" spans="1:3" x14ac:dyDescent="0.2">
      <c r="A26" s="30" t="s">
        <v>64</v>
      </c>
      <c r="B26" s="63">
        <v>4</v>
      </c>
      <c r="C26" s="63">
        <v>3</v>
      </c>
    </row>
    <row r="27" spans="1:3" x14ac:dyDescent="0.2">
      <c r="A27" s="29" t="s">
        <v>18</v>
      </c>
      <c r="B27" s="63">
        <v>2</v>
      </c>
      <c r="C27" s="63">
        <v>4</v>
      </c>
    </row>
    <row r="28" spans="1:3" x14ac:dyDescent="0.2">
      <c r="A28" s="30" t="s">
        <v>19</v>
      </c>
      <c r="B28" s="63">
        <v>2</v>
      </c>
      <c r="C28" s="63">
        <v>4</v>
      </c>
    </row>
    <row r="29" spans="1:3" x14ac:dyDescent="0.2">
      <c r="A29" s="29" t="s">
        <v>37</v>
      </c>
      <c r="B29" s="63">
        <v>2</v>
      </c>
      <c r="C29" s="63">
        <v>3</v>
      </c>
    </row>
    <row r="30" spans="1:3" x14ac:dyDescent="0.2">
      <c r="A30" s="30" t="s">
        <v>38</v>
      </c>
      <c r="B30" s="63">
        <v>2</v>
      </c>
      <c r="C30" s="63">
        <v>3</v>
      </c>
    </row>
    <row r="31" spans="1:3" x14ac:dyDescent="0.2">
      <c r="A31" s="29" t="s">
        <v>33</v>
      </c>
      <c r="B31" s="63">
        <v>4</v>
      </c>
      <c r="C31" s="63">
        <v>4</v>
      </c>
    </row>
    <row r="32" spans="1:3" x14ac:dyDescent="0.2">
      <c r="A32" s="30" t="s">
        <v>34</v>
      </c>
      <c r="B32" s="63">
        <v>4</v>
      </c>
      <c r="C32" s="63">
        <v>4</v>
      </c>
    </row>
    <row r="33" spans="1:3" x14ac:dyDescent="0.2">
      <c r="A33" s="29" t="s">
        <v>29</v>
      </c>
      <c r="B33" s="63">
        <v>6</v>
      </c>
      <c r="C33" s="63">
        <v>1</v>
      </c>
    </row>
    <row r="34" spans="1:3" x14ac:dyDescent="0.2">
      <c r="A34" s="30" t="s">
        <v>30</v>
      </c>
      <c r="B34" s="63">
        <v>6</v>
      </c>
      <c r="C34" s="63">
        <v>1</v>
      </c>
    </row>
    <row r="35" spans="1:3" x14ac:dyDescent="0.2">
      <c r="A35" s="29" t="s">
        <v>11</v>
      </c>
      <c r="B35" s="63">
        <v>3</v>
      </c>
      <c r="C35" s="63">
        <v>5</v>
      </c>
    </row>
    <row r="36" spans="1:3" x14ac:dyDescent="0.2">
      <c r="A36" s="30" t="s">
        <v>12</v>
      </c>
      <c r="B36" s="63">
        <v>1</v>
      </c>
      <c r="C36" s="63">
        <v>2</v>
      </c>
    </row>
    <row r="37" spans="1:3" x14ac:dyDescent="0.2">
      <c r="A37" s="30" t="s">
        <v>158</v>
      </c>
      <c r="B37" s="63">
        <v>2</v>
      </c>
      <c r="C37" s="63">
        <v>3</v>
      </c>
    </row>
    <row r="38" spans="1:3" x14ac:dyDescent="0.2">
      <c r="A38" s="29" t="s">
        <v>189</v>
      </c>
      <c r="B38" s="63">
        <v>64</v>
      </c>
      <c r="C38" s="63">
        <v>36</v>
      </c>
    </row>
  </sheetData>
  <sheetProtection autoFilter="0" pivotTables="0"/>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32840D-DABA-174E-8948-A52FC5C837EE}">
  <sheetPr codeName="Sheet9"/>
  <dimension ref="A1:U8"/>
  <sheetViews>
    <sheetView zoomScale="150" workbookViewId="0">
      <selection activeCell="F9" sqref="F9"/>
    </sheetView>
  </sheetViews>
  <sheetFormatPr baseColWidth="10" defaultRowHeight="15" x14ac:dyDescent="0.2"/>
  <cols>
    <col min="1" max="1" width="18.5" customWidth="1"/>
    <col min="2" max="2" width="16.1640625" customWidth="1"/>
    <col min="4" max="4" width="13.83203125" customWidth="1"/>
    <col min="6" max="6" width="16.33203125" customWidth="1"/>
    <col min="7" max="7" width="14.33203125" customWidth="1"/>
    <col min="17" max="17" width="14.5" customWidth="1"/>
  </cols>
  <sheetData>
    <row r="1" spans="1:21" x14ac:dyDescent="0.2">
      <c r="A1" s="55" t="s">
        <v>175</v>
      </c>
      <c r="B1" s="55"/>
      <c r="C1" s="55"/>
      <c r="D1" s="55"/>
      <c r="F1" s="55" t="s">
        <v>174</v>
      </c>
      <c r="G1" s="55"/>
    </row>
    <row r="2" spans="1:21" x14ac:dyDescent="0.2">
      <c r="A2" s="5" t="s">
        <v>0</v>
      </c>
      <c r="B2" s="5" t="s">
        <v>1</v>
      </c>
      <c r="C2" s="6" t="s">
        <v>159</v>
      </c>
      <c r="D2" s="6" t="s">
        <v>163</v>
      </c>
      <c r="F2" s="6" t="s">
        <v>168</v>
      </c>
      <c r="G2" s="6" t="s">
        <v>163</v>
      </c>
    </row>
    <row r="3" spans="1:21" x14ac:dyDescent="0.2">
      <c r="A3" s="8" t="s">
        <v>11</v>
      </c>
      <c r="B3" s="8" t="s">
        <v>12</v>
      </c>
      <c r="C3" s="6">
        <f>COUNTIF('Dress Rental (QA)'!A:I,'1. Quick Analysis (QA)'!B4)</f>
        <v>3</v>
      </c>
      <c r="D3" s="6" t="str">
        <f>IF(Table27911[[#This Row],[No. Rentals]]&lt;4,$G$3,IF(Table27911[[#This Row],[No. Rentals]]&lt;6,$G$4,IF(Table27911[[#This Row],[No. Rentals]]&lt;8,$G$5,$G$6)))</f>
        <v>Need promotion</v>
      </c>
      <c r="F3" s="10" t="s">
        <v>169</v>
      </c>
      <c r="G3" s="6" t="s">
        <v>213</v>
      </c>
      <c r="U3" s="9"/>
    </row>
    <row r="4" spans="1:21" x14ac:dyDescent="0.2">
      <c r="A4" s="8" t="s">
        <v>15</v>
      </c>
      <c r="B4" s="8" t="s">
        <v>16</v>
      </c>
      <c r="C4" s="6">
        <f>COUNTIF('Dress Rental (QA)'!A:I,'1. Quick Analysis (QA)'!B5)</f>
        <v>6</v>
      </c>
      <c r="D4" s="6" t="str">
        <f>IF(Table27911[[#This Row],[No. Rentals]]&lt;4,$G$3,IF(Table27911[[#This Row],[No. Rentals]]&lt;6,$G$4,IF(Table27911[[#This Row],[No. Rentals]]&lt;8,$G$5,$G$6)))</f>
        <v xml:space="preserve">Normal </v>
      </c>
      <c r="F4" s="10" t="s">
        <v>164</v>
      </c>
      <c r="G4" s="6" t="s">
        <v>214</v>
      </c>
    </row>
    <row r="5" spans="1:21" x14ac:dyDescent="0.2">
      <c r="A5" s="8" t="s">
        <v>29</v>
      </c>
      <c r="B5" s="8" t="s">
        <v>30</v>
      </c>
      <c r="C5" s="6">
        <f>COUNTIF('Dress Rental (QA)'!A:I,'1. Quick Analysis (QA)'!B9)</f>
        <v>7</v>
      </c>
      <c r="D5" s="6" t="str">
        <f>IF(Table27911[[#This Row],[No. Rentals]]&lt;4,$G$3,IF(Table27911[[#This Row],[No. Rentals]]&lt;6,$G$4,IF(Table27911[[#This Row],[No. Rentals]]&lt;8,$G$5,$G$6)))</f>
        <v xml:space="preserve">Normal </v>
      </c>
      <c r="F5" s="10" t="s">
        <v>165</v>
      </c>
      <c r="G5" s="6" t="s">
        <v>215</v>
      </c>
    </row>
    <row r="6" spans="1:21" x14ac:dyDescent="0.2">
      <c r="A6" s="8" t="s">
        <v>33</v>
      </c>
      <c r="B6" s="8" t="s">
        <v>34</v>
      </c>
      <c r="C6" s="6">
        <f>COUNTIF('Dress Rental (QA)'!A:I,'1. Quick Analysis (QA)'!B10)</f>
        <v>8</v>
      </c>
      <c r="D6" s="6" t="str">
        <f>IF(Table27911[[#This Row],[No. Rentals]]&lt;4,$G$3,IF(Table27911[[#This Row],[No. Rentals]]&lt;6,$G$4,IF(Table27911[[#This Row],[No. Rentals]]&lt;8,$G$5,$G$6)))</f>
        <v>Over rented</v>
      </c>
      <c r="F6" s="10" t="s">
        <v>170</v>
      </c>
      <c r="G6" s="6" t="s">
        <v>216</v>
      </c>
    </row>
    <row r="7" spans="1:21" x14ac:dyDescent="0.2">
      <c r="A7" s="8" t="s">
        <v>59</v>
      </c>
      <c r="B7" s="8" t="s">
        <v>60</v>
      </c>
      <c r="C7" s="6">
        <f>COUNTIF('Dress Rental (QA)'!A:I,'1. Quick Analysis (QA)'!B17)</f>
        <v>3</v>
      </c>
      <c r="D7" s="6" t="str">
        <f>IF(Table27911[[#This Row],[No. Rentals]]&lt;4,$G$3,IF(Table27911[[#This Row],[No. Rentals]]&lt;6,$G$4,IF(Table27911[[#This Row],[No. Rentals]]&lt;8,$G$5,$G$6)))</f>
        <v>Need promotion</v>
      </c>
      <c r="F7" s="9"/>
    </row>
    <row r="8" spans="1:21" x14ac:dyDescent="0.2">
      <c r="A8" s="8" t="s">
        <v>59</v>
      </c>
      <c r="B8" s="8" t="s">
        <v>69</v>
      </c>
      <c r="C8" s="6">
        <f>COUNTIF('Dress Rental (QA)'!A:I,'1. Quick Analysis (QA)'!B21)</f>
        <v>5</v>
      </c>
      <c r="D8" s="6" t="str">
        <f>IF(Table27911[[#This Row],[No. Rentals]]&lt;4,$G$3,IF(Table27911[[#This Row],[No. Rentals]]&lt;6,$G$4,IF(Table27911[[#This Row],[No. Rentals]]&lt;8,$G$5,$G$6)))</f>
        <v>Under rented</v>
      </c>
      <c r="F8" s="9"/>
    </row>
  </sheetData>
  <mergeCells count="2">
    <mergeCell ref="A1:D1"/>
    <mergeCell ref="F1:G1"/>
  </mergeCells>
  <pageMargins left="0.7" right="0.7" top="0.75" bottom="0.75" header="0.3" footer="0.3"/>
  <tableParts count="2">
    <tablePart r:id="rId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F1CD8-A793-F54E-BFC0-AF973FE4313F}">
  <sheetPr codeName="Sheet10"/>
  <dimension ref="A1:V8"/>
  <sheetViews>
    <sheetView zoomScale="143" zoomScaleNormal="226" workbookViewId="0">
      <selection activeCell="F11" sqref="F11"/>
    </sheetView>
  </sheetViews>
  <sheetFormatPr baseColWidth="10" defaultRowHeight="15" x14ac:dyDescent="0.2"/>
  <cols>
    <col min="1" max="1" width="18.5" customWidth="1"/>
    <col min="2" max="2" width="16.1640625" customWidth="1"/>
    <col min="4" max="4" width="13.83203125" customWidth="1"/>
    <col min="6" max="6" width="16.33203125" customWidth="1"/>
    <col min="7" max="7" width="12.5" customWidth="1"/>
    <col min="8" max="8" width="14.33203125" customWidth="1"/>
    <col min="18" max="18" width="14.5" customWidth="1"/>
  </cols>
  <sheetData>
    <row r="1" spans="1:22" x14ac:dyDescent="0.2">
      <c r="A1" s="55" t="s">
        <v>176</v>
      </c>
      <c r="B1" s="55"/>
      <c r="C1" s="55"/>
      <c r="D1" s="55"/>
      <c r="F1" s="55" t="s">
        <v>174</v>
      </c>
      <c r="G1" s="55"/>
      <c r="H1" s="55"/>
    </row>
    <row r="2" spans="1:22" x14ac:dyDescent="0.2">
      <c r="A2" s="5" t="s">
        <v>0</v>
      </c>
      <c r="B2" s="5" t="s">
        <v>1</v>
      </c>
      <c r="C2" s="6" t="s">
        <v>159</v>
      </c>
      <c r="D2" s="6" t="s">
        <v>163</v>
      </c>
      <c r="F2" s="6" t="s">
        <v>168</v>
      </c>
      <c r="G2" s="6" t="s">
        <v>177</v>
      </c>
      <c r="H2" s="6" t="s">
        <v>163</v>
      </c>
    </row>
    <row r="3" spans="1:22" x14ac:dyDescent="0.2">
      <c r="A3" s="8" t="s">
        <v>11</v>
      </c>
      <c r="B3" s="8" t="s">
        <v>12</v>
      </c>
      <c r="C3" s="6">
        <f>COUNTIF('Dress Rental (QA)'!A:I,'1. Quick Analysis (QA)'!B4)</f>
        <v>3</v>
      </c>
      <c r="D3" s="6" t="str">
        <f>VLOOKUP(Table279[[#This Row],[No. Rentals]],Table9[[#All],[Lowest Value]:[Status]],2,TRUE)</f>
        <v>Need promotion</v>
      </c>
      <c r="F3" s="10" t="s">
        <v>169</v>
      </c>
      <c r="G3" s="11">
        <v>3</v>
      </c>
      <c r="H3" s="6" t="s">
        <v>213</v>
      </c>
      <c r="V3" s="9"/>
    </row>
    <row r="4" spans="1:22" x14ac:dyDescent="0.2">
      <c r="A4" s="8" t="s">
        <v>15</v>
      </c>
      <c r="B4" s="8" t="s">
        <v>16</v>
      </c>
      <c r="C4" s="6">
        <f>COUNTIF('Dress Rental (QA)'!A:I,'1. Quick Analysis (QA)'!B5)</f>
        <v>6</v>
      </c>
      <c r="D4" s="6" t="str">
        <f>VLOOKUP(Table279[[#This Row],[No. Rentals]],Table9[[#All],[Lowest Value]:[Status]],2,TRUE)</f>
        <v xml:space="preserve">Normal </v>
      </c>
      <c r="F4" s="10" t="s">
        <v>164</v>
      </c>
      <c r="G4" s="11">
        <v>4</v>
      </c>
      <c r="H4" s="6" t="s">
        <v>214</v>
      </c>
    </row>
    <row r="5" spans="1:22" x14ac:dyDescent="0.2">
      <c r="A5" s="8" t="s">
        <v>29</v>
      </c>
      <c r="B5" s="8" t="s">
        <v>30</v>
      </c>
      <c r="C5" s="6">
        <f>COUNTIF('Dress Rental (QA)'!A:I,'1. Quick Analysis (QA)'!B9)</f>
        <v>7</v>
      </c>
      <c r="D5" s="6" t="str">
        <f>VLOOKUP(Table279[[#This Row],[No. Rentals]],Table9[[#All],[Lowest Value]:[Status]],2,TRUE)</f>
        <v xml:space="preserve">Normal </v>
      </c>
      <c r="F5" s="10" t="s">
        <v>165</v>
      </c>
      <c r="G5" s="11">
        <v>6</v>
      </c>
      <c r="H5" s="6" t="s">
        <v>215</v>
      </c>
    </row>
    <row r="6" spans="1:22" x14ac:dyDescent="0.2">
      <c r="A6" s="8" t="s">
        <v>33</v>
      </c>
      <c r="B6" s="8" t="s">
        <v>34</v>
      </c>
      <c r="C6" s="6">
        <f>COUNTIF('Dress Rental (QA)'!A:I,'1. Quick Analysis (QA)'!B10)</f>
        <v>8</v>
      </c>
      <c r="D6" s="6" t="str">
        <f>VLOOKUP(Table279[[#This Row],[No. Rentals]],Table9[[#All],[Lowest Value]:[Status]],2,TRUE)</f>
        <v>Over rented</v>
      </c>
      <c r="F6" s="10" t="s">
        <v>170</v>
      </c>
      <c r="G6" s="11">
        <v>8</v>
      </c>
      <c r="H6" s="6" t="s">
        <v>216</v>
      </c>
    </row>
    <row r="7" spans="1:22" x14ac:dyDescent="0.2">
      <c r="A7" s="8" t="s">
        <v>59</v>
      </c>
      <c r="B7" s="8" t="s">
        <v>60</v>
      </c>
      <c r="C7" s="6">
        <f>COUNTIF('Dress Rental (QA)'!A:I,'1. Quick Analysis (QA)'!B17)</f>
        <v>3</v>
      </c>
      <c r="D7" s="6" t="str">
        <f>VLOOKUP(Table279[[#This Row],[No. Rentals]],Table9[[#All],[Lowest Value]:[Status]],2,TRUE)</f>
        <v>Need promotion</v>
      </c>
      <c r="F7" s="9"/>
      <c r="G7" s="9"/>
    </row>
    <row r="8" spans="1:22" x14ac:dyDescent="0.2">
      <c r="A8" s="8" t="s">
        <v>59</v>
      </c>
      <c r="B8" s="8" t="s">
        <v>69</v>
      </c>
      <c r="C8" s="6">
        <f>COUNTIF('Dress Rental (QA)'!A:I,'1. Quick Analysis (QA)'!B21)</f>
        <v>5</v>
      </c>
      <c r="D8" s="6" t="str">
        <f>VLOOKUP(Table279[[#This Row],[No. Rentals]],Table9[[#All],[Lowest Value]:[Status]],2,TRUE)</f>
        <v>Under rented</v>
      </c>
      <c r="F8" s="9"/>
      <c r="G8" s="9"/>
    </row>
  </sheetData>
  <mergeCells count="2">
    <mergeCell ref="A1:D1"/>
    <mergeCell ref="F1:H1"/>
  </mergeCells>
  <pageMargins left="0.7" right="0.7" top="0.75" bottom="0.75" header="0.3" footer="0.3"/>
  <tableParts count="2">
    <tablePart r:id="rId1"/>
    <tablePart r:id="rId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89E8E-50BC-F443-A387-AE5F1AEDC208}">
  <sheetPr codeName="Sheet11"/>
  <dimension ref="A1:V15"/>
  <sheetViews>
    <sheetView zoomScale="150" workbookViewId="0">
      <selection activeCell="A2" sqref="A2"/>
    </sheetView>
  </sheetViews>
  <sheetFormatPr baseColWidth="10" defaultRowHeight="15" x14ac:dyDescent="0.2"/>
  <cols>
    <col min="1" max="1" width="18.5" customWidth="1"/>
    <col min="2" max="2" width="16.1640625" customWidth="1"/>
    <col min="3" max="4" width="13.83203125" customWidth="1"/>
    <col min="6" max="6" width="18.33203125" customWidth="1"/>
    <col min="7" max="8" width="14.33203125" customWidth="1"/>
    <col min="18" max="18" width="14.5" customWidth="1"/>
  </cols>
  <sheetData>
    <row r="1" spans="1:22" x14ac:dyDescent="0.2">
      <c r="A1" s="55" t="s">
        <v>176</v>
      </c>
      <c r="B1" s="55"/>
      <c r="C1" s="55"/>
      <c r="D1" s="55"/>
      <c r="F1" s="55" t="s">
        <v>174</v>
      </c>
      <c r="G1" s="55"/>
      <c r="H1" s="55"/>
    </row>
    <row r="2" spans="1:22" x14ac:dyDescent="0.2">
      <c r="A2" s="5" t="s">
        <v>0</v>
      </c>
      <c r="B2" s="5" t="s">
        <v>1</v>
      </c>
      <c r="C2" s="6" t="s">
        <v>159</v>
      </c>
      <c r="D2" s="6" t="s">
        <v>163</v>
      </c>
      <c r="F2" s="6" t="s">
        <v>168</v>
      </c>
      <c r="G2" s="6" t="s">
        <v>177</v>
      </c>
      <c r="H2" s="6" t="s">
        <v>173</v>
      </c>
    </row>
    <row r="3" spans="1:22" x14ac:dyDescent="0.2">
      <c r="A3" s="8" t="s">
        <v>11</v>
      </c>
      <c r="B3" s="8" t="s">
        <v>12</v>
      </c>
      <c r="C3" s="57">
        <f>COUNTIF('Dress Rental (QA)'!A:I,'1. Quick Analysis (QA)'!B4)</f>
        <v>3</v>
      </c>
      <c r="D3" s="6" t="str">
        <f>VLOOKUP(Table27913[[#This Row],[No. Rentals]],Table914[[#All],[Lowest Value]:[Column1]],2,TRUE)</f>
        <v>need promotion</v>
      </c>
      <c r="F3" s="10" t="s">
        <v>169</v>
      </c>
      <c r="G3" s="13">
        <v>0</v>
      </c>
      <c r="H3" s="6" t="s">
        <v>171</v>
      </c>
      <c r="V3" s="9"/>
    </row>
    <row r="4" spans="1:22" x14ac:dyDescent="0.2">
      <c r="A4" s="8" t="s">
        <v>15</v>
      </c>
      <c r="B4" s="8" t="s">
        <v>16</v>
      </c>
      <c r="C4" s="57">
        <f>COUNTIF('Dress Rental (QA)'!A:I,'1. Quick Analysis (QA)'!B5)</f>
        <v>6</v>
      </c>
      <c r="D4" s="6" t="str">
        <f>VLOOKUP(Table27913[[#This Row],[No. Rentals]],Table914[[#All],[Lowest Value]:[Column1]],2,TRUE)</f>
        <v xml:space="preserve">normal </v>
      </c>
      <c r="F4" s="10" t="s">
        <v>164</v>
      </c>
      <c r="G4" s="13">
        <v>4</v>
      </c>
      <c r="H4" s="6" t="s">
        <v>166</v>
      </c>
    </row>
    <row r="5" spans="1:22" x14ac:dyDescent="0.2">
      <c r="A5" s="8" t="s">
        <v>29</v>
      </c>
      <c r="B5" s="8" t="s">
        <v>30</v>
      </c>
      <c r="C5" s="57">
        <f>COUNTIF('Dress Rental (QA)'!A:I,'1. Quick Analysis (QA)'!B9)</f>
        <v>7</v>
      </c>
      <c r="D5" s="6" t="str">
        <f>VLOOKUP(Table27913[[#This Row],[No. Rentals]],Table914[[#All],[Lowest Value]:[Column1]],2,TRUE)</f>
        <v xml:space="preserve">normal </v>
      </c>
      <c r="F5" s="10" t="s">
        <v>165</v>
      </c>
      <c r="G5" s="13">
        <v>6</v>
      </c>
      <c r="H5" s="6" t="s">
        <v>172</v>
      </c>
    </row>
    <row r="6" spans="1:22" x14ac:dyDescent="0.2">
      <c r="A6" s="8" t="s">
        <v>33</v>
      </c>
      <c r="B6" s="8" t="s">
        <v>34</v>
      </c>
      <c r="C6" s="57">
        <f>COUNTIF('Dress Rental (QA)'!A:I,'1. Quick Analysis (QA)'!B10)</f>
        <v>8</v>
      </c>
      <c r="D6" s="6" t="str">
        <f>VLOOKUP(Table27913[[#This Row],[No. Rentals]],Table914[[#All],[Lowest Value]:[Column1]],2,TRUE)</f>
        <v>over rented</v>
      </c>
      <c r="F6" s="10" t="s">
        <v>170</v>
      </c>
      <c r="G6" s="13">
        <v>8</v>
      </c>
      <c r="H6" s="6" t="s">
        <v>167</v>
      </c>
    </row>
    <row r="7" spans="1:22" x14ac:dyDescent="0.2">
      <c r="A7" s="8" t="s">
        <v>59</v>
      </c>
      <c r="B7" s="8" t="s">
        <v>60</v>
      </c>
      <c r="C7" s="57">
        <f>COUNTIF('Dress Rental (QA)'!A:I,'1. Quick Analysis (QA)'!B17)</f>
        <v>3</v>
      </c>
      <c r="D7" s="6" t="str">
        <f>VLOOKUP(Table27913[[#This Row],[No. Rentals]],Table914[[#All],[Lowest Value]:[Column1]],2,TRUE)</f>
        <v>need promotion</v>
      </c>
      <c r="F7" s="9"/>
      <c r="G7" s="9"/>
    </row>
    <row r="8" spans="1:22" x14ac:dyDescent="0.2">
      <c r="A8" s="8" t="s">
        <v>59</v>
      </c>
      <c r="B8" s="8" t="s">
        <v>69</v>
      </c>
      <c r="C8" s="57">
        <f>COUNTIF('Dress Rental (QA)'!A:I,'1. Quick Analysis (QA)'!B21)</f>
        <v>5</v>
      </c>
      <c r="D8" s="6" t="str">
        <f>VLOOKUP(Table27913[[#This Row],[No. Rentals]],Table914[[#All],[Lowest Value]:[Column1]],2,TRUE)</f>
        <v>under rented</v>
      </c>
      <c r="F8" s="9"/>
      <c r="G8" s="9"/>
    </row>
    <row r="13" spans="1:22" x14ac:dyDescent="0.2">
      <c r="E13" t="s">
        <v>178</v>
      </c>
    </row>
    <row r="15" spans="1:22" ht="20" customHeight="1" x14ac:dyDescent="0.2">
      <c r="D15" t="s">
        <v>226</v>
      </c>
    </row>
  </sheetData>
  <mergeCells count="2">
    <mergeCell ref="A1:D1"/>
    <mergeCell ref="F1:H1"/>
  </mergeCells>
  <dataValidations count="2">
    <dataValidation type="whole" allowBlank="1" showInputMessage="1" showErrorMessage="1" errorTitle="Invalid input" error="Value must be between 0-13" promptTitle="Value between 0-13" sqref="G3:G6" xr:uid="{E20662DB-8B26-134B-BB98-FA2FBA24CF57}">
      <formula1>0</formula1>
      <formula2>13</formula2>
    </dataValidation>
    <dataValidation type="whole" allowBlank="1" showInputMessage="1" showErrorMessage="1" errorTitle="Invalid Input" error="Value must be between 0 - 13" promptTitle="Number of Rentals" sqref="C3:C8" xr:uid="{88DF69C9-B4C6-3D49-A997-92F21325D358}">
      <formula1>0</formula1>
      <formula2>13</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5" r:id="rId3" name="Button 15">
              <controlPr defaultSize="0" print="0" autoFill="0" autoPict="0" macro="[0]!createChart2" altText="Create Chart">
                <anchor moveWithCells="1" sizeWithCells="1">
                  <from>
                    <xdr:col>1</xdr:col>
                    <xdr:colOff>431800</xdr:colOff>
                    <xdr:row>10</xdr:row>
                    <xdr:rowOff>88900</xdr:rowOff>
                  </from>
                  <to>
                    <xdr:col>2</xdr:col>
                    <xdr:colOff>825500</xdr:colOff>
                    <xdr:row>12</xdr:row>
                    <xdr:rowOff>165100</xdr:rowOff>
                  </to>
                </anchor>
              </controlPr>
            </control>
          </mc:Choice>
        </mc:AlternateContent>
        <mc:AlternateContent xmlns:mc="http://schemas.openxmlformats.org/markup-compatibility/2006">
          <mc:Choice Requires="x14">
            <control shapeId="10259" r:id="rId4" name="Button 19">
              <controlPr defaultSize="0" print="0" autoFill="0" autoPict="0" macro="[0]!UnlockSheet">
                <anchor moveWithCells="1" sizeWithCells="1">
                  <from>
                    <xdr:col>1</xdr:col>
                    <xdr:colOff>406400</xdr:colOff>
                    <xdr:row>16</xdr:row>
                    <xdr:rowOff>101600</xdr:rowOff>
                  </from>
                  <to>
                    <xdr:col>2</xdr:col>
                    <xdr:colOff>812800</xdr:colOff>
                    <xdr:row>19</xdr:row>
                    <xdr:rowOff>63500</xdr:rowOff>
                  </to>
                </anchor>
              </controlPr>
            </control>
          </mc:Choice>
        </mc:AlternateContent>
        <mc:AlternateContent xmlns:mc="http://schemas.openxmlformats.org/markup-compatibility/2006">
          <mc:Choice Requires="x14">
            <control shapeId="10261" r:id="rId5" name="Button 21">
              <controlPr defaultSize="0" print="0" autoFill="0" autoPict="0" macro="[0]!Protect_Workshett">
                <anchor moveWithCells="1" sizeWithCells="1">
                  <from>
                    <xdr:col>1</xdr:col>
                    <xdr:colOff>431800</xdr:colOff>
                    <xdr:row>13</xdr:row>
                    <xdr:rowOff>165100</xdr:rowOff>
                  </from>
                  <to>
                    <xdr:col>2</xdr:col>
                    <xdr:colOff>723900</xdr:colOff>
                    <xdr:row>15</xdr:row>
                    <xdr:rowOff>101600</xdr:rowOff>
                  </to>
                </anchor>
              </controlPr>
            </control>
          </mc:Choice>
        </mc:AlternateContent>
      </controls>
    </mc:Choice>
  </mc:AlternateContent>
  <tableParts count="2">
    <tablePart r:id="rId6"/>
    <tablePart r:id="rId7"/>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AB54B1-547E-3842-8F11-A98E36612D78}">
  <sheetPr codeName="Sheet13"/>
  <dimension ref="A1:C12"/>
  <sheetViews>
    <sheetView tabSelected="1" zoomScale="131" zoomScaleNormal="224" workbookViewId="0">
      <selection activeCell="E4" sqref="E4"/>
    </sheetView>
  </sheetViews>
  <sheetFormatPr baseColWidth="10" defaultRowHeight="15" x14ac:dyDescent="0.2"/>
  <cols>
    <col min="1" max="1" width="7.33203125" style="42" customWidth="1"/>
    <col min="2" max="2" width="24.1640625" customWidth="1"/>
    <col min="3" max="3" width="72.83203125" customWidth="1"/>
  </cols>
  <sheetData>
    <row r="1" spans="1:3" x14ac:dyDescent="0.2">
      <c r="A1" s="56" t="s">
        <v>179</v>
      </c>
      <c r="B1" s="56"/>
      <c r="C1" s="56"/>
    </row>
    <row r="2" spans="1:3" x14ac:dyDescent="0.2">
      <c r="A2" s="46" t="s">
        <v>193</v>
      </c>
      <c r="B2" s="43" t="s">
        <v>194</v>
      </c>
      <c r="C2" s="43" t="s">
        <v>195</v>
      </c>
    </row>
    <row r="3" spans="1:3" ht="63" customHeight="1" x14ac:dyDescent="0.2">
      <c r="A3" s="47">
        <v>0</v>
      </c>
      <c r="B3" s="44" t="s">
        <v>192</v>
      </c>
      <c r="C3" s="45" t="s">
        <v>200</v>
      </c>
    </row>
    <row r="4" spans="1:3" ht="50" customHeight="1" x14ac:dyDescent="0.2">
      <c r="A4" s="47">
        <v>0.1</v>
      </c>
      <c r="B4" s="44" t="s">
        <v>196</v>
      </c>
      <c r="C4" s="45" t="s">
        <v>201</v>
      </c>
    </row>
    <row r="5" spans="1:3" ht="144" customHeight="1" x14ac:dyDescent="0.2">
      <c r="A5" s="47">
        <v>1</v>
      </c>
      <c r="B5" s="44" t="s">
        <v>197</v>
      </c>
      <c r="C5" s="45" t="s">
        <v>199</v>
      </c>
    </row>
    <row r="6" spans="1:3" ht="16" x14ac:dyDescent="0.2">
      <c r="A6" s="47">
        <v>2</v>
      </c>
      <c r="B6" s="44" t="s">
        <v>198</v>
      </c>
      <c r="C6" s="45" t="s">
        <v>206</v>
      </c>
    </row>
    <row r="7" spans="1:3" ht="32" x14ac:dyDescent="0.2">
      <c r="A7" s="47">
        <v>3</v>
      </c>
      <c r="B7" s="44" t="s">
        <v>202</v>
      </c>
      <c r="C7" s="45" t="s">
        <v>218</v>
      </c>
    </row>
    <row r="8" spans="1:3" ht="48" x14ac:dyDescent="0.2">
      <c r="A8" s="47">
        <v>4.0999999999999996</v>
      </c>
      <c r="B8" s="44" t="s">
        <v>203</v>
      </c>
      <c r="C8" s="45" t="s">
        <v>207</v>
      </c>
    </row>
    <row r="9" spans="1:3" ht="48" x14ac:dyDescent="0.2">
      <c r="A9" s="47">
        <v>4.2</v>
      </c>
      <c r="B9" s="44" t="s">
        <v>204</v>
      </c>
      <c r="C9" s="45" t="s">
        <v>208</v>
      </c>
    </row>
    <row r="10" spans="1:3" ht="48" x14ac:dyDescent="0.2">
      <c r="A10" s="47">
        <v>5.0999999999999996</v>
      </c>
      <c r="B10" s="44" t="s">
        <v>209</v>
      </c>
      <c r="C10" s="45" t="s">
        <v>211</v>
      </c>
    </row>
    <row r="11" spans="1:3" ht="48" x14ac:dyDescent="0.2">
      <c r="A11" s="47">
        <v>5.2</v>
      </c>
      <c r="B11" s="44" t="s">
        <v>210</v>
      </c>
      <c r="C11" s="45" t="s">
        <v>212</v>
      </c>
    </row>
    <row r="12" spans="1:3" ht="160" x14ac:dyDescent="0.2">
      <c r="A12" s="47">
        <v>6</v>
      </c>
      <c r="B12" s="44" t="s">
        <v>205</v>
      </c>
      <c r="C12" s="45" t="s">
        <v>217</v>
      </c>
    </row>
  </sheetData>
  <mergeCells count="1">
    <mergeCell ref="A1:C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6" baseType="variant">
      <vt:variant>
        <vt:lpstr>Worksheets</vt:lpstr>
      </vt:variant>
      <vt:variant>
        <vt:i4>12</vt:i4>
      </vt:variant>
      <vt:variant>
        <vt:lpstr>Charts</vt:lpstr>
      </vt:variant>
      <vt:variant>
        <vt:i4>1</vt:i4>
      </vt:variant>
      <vt:variant>
        <vt:lpstr>Named Ranges</vt:lpstr>
      </vt:variant>
      <vt:variant>
        <vt:i4>28</vt:i4>
      </vt:variant>
    </vt:vector>
  </HeadingPairs>
  <TitlesOfParts>
    <vt:vector size="41" baseType="lpstr">
      <vt:lpstr>Introduction</vt:lpstr>
      <vt:lpstr>Dress Rental (OG)</vt:lpstr>
      <vt:lpstr>Dress Rental (QA)</vt:lpstr>
      <vt:lpstr>1. Quick Analysis (QA)</vt:lpstr>
      <vt:lpstr>2. Dress Rental (F&amp;S)</vt:lpstr>
      <vt:lpstr>3.Applying Condition Formatting</vt:lpstr>
      <vt:lpstr>4.1 Charts and Data</vt:lpstr>
      <vt:lpstr>4.2 Piv Table</vt:lpstr>
      <vt:lpstr>5.1 Advance functions (IF)</vt:lpstr>
      <vt:lpstr>5.2 Advance functions (Vlookup)</vt:lpstr>
      <vt:lpstr>6. Macros</vt:lpstr>
      <vt:lpstr>7. Doccumentation</vt:lpstr>
      <vt:lpstr>Chart1</vt:lpstr>
      <vt:lpstr>'2. Dress Rental (F&amp;S)'!amount</vt:lpstr>
      <vt:lpstr>'3.Applying Condition Formatting'!amount</vt:lpstr>
      <vt:lpstr>'Dress Rental (QA)'!amount</vt:lpstr>
      <vt:lpstr>amount</vt:lpstr>
      <vt:lpstr>'2. Dress Rental (F&amp;S)'!DateRange</vt:lpstr>
      <vt:lpstr>'3.Applying Condition Formatting'!DateRange</vt:lpstr>
      <vt:lpstr>'Dress Rental (QA)'!DateRange</vt:lpstr>
      <vt:lpstr>DateRange</vt:lpstr>
      <vt:lpstr>'2. Dress Rental (F&amp;S)'!Dress</vt:lpstr>
      <vt:lpstr>'3.Applying Condition Formatting'!Dress</vt:lpstr>
      <vt:lpstr>'Dress Rental (QA)'!Dress</vt:lpstr>
      <vt:lpstr>Dress</vt:lpstr>
      <vt:lpstr>'2. Dress Rental (F&amp;S)'!dress_name</vt:lpstr>
      <vt:lpstr>'3.Applying Condition Formatting'!dress_name</vt:lpstr>
      <vt:lpstr>'Dress Rental (QA)'!dress_name</vt:lpstr>
      <vt:lpstr>dress_name</vt:lpstr>
      <vt:lpstr>'2. Dress Rental (F&amp;S)'!Extract</vt:lpstr>
      <vt:lpstr>'3.Applying Condition Formatting'!Extract</vt:lpstr>
      <vt:lpstr>Rent_Date</vt:lpstr>
      <vt:lpstr>'1. Quick Analysis (QA)'!Rental_Price</vt:lpstr>
      <vt:lpstr>'2. Dress Rental (F&amp;S)'!Rental_Price</vt:lpstr>
      <vt:lpstr>'3.Applying Condition Formatting'!Rental_Price</vt:lpstr>
      <vt:lpstr>'5.1 Advance functions (IF)'!Rental_Price</vt:lpstr>
      <vt:lpstr>'6. Macros'!Rental_Price</vt:lpstr>
      <vt:lpstr>Rental_Price</vt:lpstr>
      <vt:lpstr>Retail_Price</vt:lpstr>
      <vt:lpstr>Size</vt:lpstr>
      <vt:lpstr>Year</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Chan</dc:creator>
  <cp:lastModifiedBy>Han Luu</cp:lastModifiedBy>
  <dcterms:created xsi:type="dcterms:W3CDTF">2022-07-30T14:27:18Z</dcterms:created>
  <dcterms:modified xsi:type="dcterms:W3CDTF">2022-09-02T03:21:33Z</dcterms:modified>
</cp:coreProperties>
</file>